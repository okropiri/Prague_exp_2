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213 probe" sheetId="1" r:id="rId4"/>
  </sheets>
  <definedNames/>
  <calcPr/>
  <extLst>
    <ext uri="GoogleSheetsCustomDataVersion2">
      <go:sheetsCustomData xmlns:go="http://customooxmlschemas.google.com/" r:id="rId5" roundtripDataChecksum="7BU1tS8a3P9xULdrzmje2AZVO6s7Y1qSsDkhZ84Qk7Y="/>
    </ext>
  </extLst>
</workbook>
</file>

<file path=xl/sharedStrings.xml><?xml version="1.0" encoding="utf-8"?>
<sst xmlns="http://schemas.openxmlformats.org/spreadsheetml/2006/main" count="15" uniqueCount="15">
  <si>
    <t>Expected estimations</t>
  </si>
  <si>
    <t>important for digitizer load</t>
  </si>
  <si>
    <t>important for pileup estimations</t>
  </si>
  <si>
    <t>integral neutron Yield (/sr/C)</t>
  </si>
  <si>
    <t>MeV width (MeV)</t>
  </si>
  <si>
    <t>distance L (cm)</t>
  </si>
  <si>
    <t>beam current (uA)</t>
  </si>
  <si>
    <t>Flux (/cm2/s)</t>
  </si>
  <si>
    <t>probe-face area (cm2)</t>
  </si>
  <si>
    <t>probe eff (-)</t>
  </si>
  <si>
    <t>macro modulation</t>
  </si>
  <si>
    <t>rate in Probe (kHz)</t>
  </si>
  <si>
    <t>actual probe-load corrected on macromodulation (kHz)</t>
  </si>
  <si>
    <t>peak Neutrons</t>
  </si>
  <si>
    <t>QM+continuum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</si>
</sst>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1.0"/>
      <color rgb="FF9C57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1" xfId="0" applyFont="1" applyNumberFormat="1"/>
    <xf borderId="0" fillId="0" fontId="3" numFmtId="0" xfId="0" applyAlignment="1" applyFont="1">
      <alignment readingOrder="0"/>
    </xf>
    <xf borderId="1" fillId="2" fontId="4" numFmtId="11" xfId="0" applyBorder="1" applyFill="1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2.5"/>
    <col customWidth="1" min="3" max="3" width="13.75"/>
    <col customWidth="1" min="4" max="4" width="12.75"/>
    <col customWidth="1" min="5" max="5" width="14.88"/>
    <col customWidth="1" min="6" max="6" width="15.63"/>
    <col customWidth="1" min="7" max="7" width="18.25"/>
    <col customWidth="1" min="8" max="8" width="9.88"/>
    <col customWidth="1" min="9" max="9" width="14.25"/>
    <col customWidth="1" min="10" max="10" width="21.75"/>
    <col customWidth="1" min="11" max="11" width="40.63"/>
    <col customWidth="1" min="12" max="12" width="7.63"/>
    <col customWidth="1" min="13" max="13" width="16.25"/>
    <col customWidth="1" min="14" max="26" width="7.63"/>
  </cols>
  <sheetData>
    <row r="1">
      <c r="J1" s="1" t="s">
        <v>0</v>
      </c>
    </row>
    <row r="2">
      <c r="J2" s="2" t="s">
        <v>1</v>
      </c>
      <c r="K2" s="2" t="s">
        <v>2</v>
      </c>
    </row>
    <row r="3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>
      <c r="A4" s="2" t="s">
        <v>13</v>
      </c>
      <c r="B4" s="3">
        <v>1.5E15</v>
      </c>
      <c r="C4" s="2">
        <v>1.0</v>
      </c>
      <c r="D4" s="2">
        <v>400.0</v>
      </c>
      <c r="E4" s="4">
        <v>0.05</v>
      </c>
      <c r="F4" s="3">
        <f t="shared" ref="F4:F5" si="1">B4/D4/D4*E4*0.000001</f>
        <v>468.75</v>
      </c>
      <c r="G4" s="2">
        <f t="shared" ref="G4:G5" si="2">2.54*2.54*3.14</f>
        <v>20.258024</v>
      </c>
      <c r="H4" s="2">
        <v>0.008</v>
      </c>
      <c r="I4" s="2">
        <v>0.2</v>
      </c>
      <c r="J4" s="5">
        <f t="shared" ref="J4:J5" si="3">F4*G4*H4/1000</f>
        <v>0.07596759</v>
      </c>
      <c r="K4" s="5">
        <f t="shared" ref="K4:K5" si="4">J4/0.2</f>
        <v>0.37983795</v>
      </c>
      <c r="M4" s="6">
        <f>F4*64</f>
        <v>30000</v>
      </c>
    </row>
    <row r="5">
      <c r="A5" s="2" t="s">
        <v>14</v>
      </c>
      <c r="B5" s="6">
        <f>B4*2</f>
        <v>3E+15</v>
      </c>
      <c r="C5" s="2">
        <v>1.0</v>
      </c>
      <c r="D5" s="2">
        <v>400.0</v>
      </c>
      <c r="E5" s="2">
        <v>0.1</v>
      </c>
      <c r="F5" s="3">
        <f t="shared" si="1"/>
        <v>1875</v>
      </c>
      <c r="G5" s="2">
        <f t="shared" si="2"/>
        <v>20.258024</v>
      </c>
      <c r="H5" s="2">
        <v>0.008</v>
      </c>
      <c r="I5" s="2">
        <v>0.2</v>
      </c>
      <c r="J5" s="5">
        <f t="shared" si="3"/>
        <v>0.30387036</v>
      </c>
      <c r="K5" s="5">
        <f t="shared" si="4"/>
        <v>1.5193518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K1"/>
  </mergeCells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2024-11-20T12:06:48Z</dcterms:created>
  <dc:creator>Martin Ansorge</dc:creator>
</cp:coreProperties>
</file>