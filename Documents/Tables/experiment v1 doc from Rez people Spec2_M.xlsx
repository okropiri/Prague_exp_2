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NG_experiments\TOF\2024_12_09 NCal\"/>
    </mc:Choice>
  </mc:AlternateContent>
  <xr:revisionPtr revIDLastSave="0" documentId="13_ncr:1_{894D1F63-39FB-49E0-8529-19F6FE17C065}" xr6:coauthVersionLast="47" xr6:coauthVersionMax="47" xr10:uidLastSave="{00000000-0000-0000-0000-000000000000}"/>
  <bookViews>
    <workbookView xWindow="-120" yWindow="-120" windowWidth="29040" windowHeight="15840" xr2:uid="{23DC4CB3-A19A-4756-AB9D-42B2E2986AEC}"/>
  </bookViews>
  <sheets>
    <sheet name="Spec2" sheetId="1" r:id="rId1"/>
    <sheet name="CHECK-dtcalc_er_SA.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D6" i="2" s="1"/>
  <c r="E7" i="1"/>
  <c r="E8" i="1"/>
  <c r="E9" i="1"/>
  <c r="E10" i="1"/>
  <c r="E11" i="1"/>
  <c r="E12" i="1"/>
  <c r="E13" i="1"/>
  <c r="D13" i="2" s="1"/>
  <c r="E13" i="2" s="1"/>
  <c r="E14" i="1"/>
  <c r="D14" i="2" s="1"/>
  <c r="E15" i="1"/>
  <c r="E16" i="1"/>
  <c r="E17" i="1"/>
  <c r="D17" i="2" s="1"/>
  <c r="E17" i="2" s="1"/>
  <c r="E18" i="1"/>
  <c r="D18" i="2" s="1"/>
  <c r="E19" i="1"/>
  <c r="E20" i="1"/>
  <c r="E21" i="1"/>
  <c r="E22" i="1"/>
  <c r="D22" i="2" s="1"/>
  <c r="E23" i="1"/>
  <c r="E24" i="1"/>
  <c r="E25" i="1"/>
  <c r="E26" i="1"/>
  <c r="E27" i="1"/>
  <c r="E28" i="1"/>
  <c r="E29" i="1"/>
  <c r="D29" i="2" s="1"/>
  <c r="E29" i="2" s="1"/>
  <c r="E30" i="1"/>
  <c r="D30" i="2" s="1"/>
  <c r="E31" i="1"/>
  <c r="E32" i="1"/>
  <c r="E33" i="1"/>
  <c r="D33" i="2" s="1"/>
  <c r="E33" i="2" s="1"/>
  <c r="E34" i="1"/>
  <c r="D34" i="2" s="1"/>
  <c r="E35" i="1"/>
  <c r="E36" i="1"/>
  <c r="E37" i="1"/>
  <c r="E38" i="1"/>
  <c r="D38" i="2" s="1"/>
  <c r="E39" i="1"/>
  <c r="E40" i="1"/>
  <c r="E41" i="1"/>
  <c r="E42" i="1"/>
  <c r="E43" i="1"/>
  <c r="E44" i="1"/>
  <c r="E45" i="1"/>
  <c r="D45" i="2" s="1"/>
  <c r="E45" i="2" s="1"/>
  <c r="E46" i="1"/>
  <c r="D46" i="2" s="1"/>
  <c r="E47" i="1"/>
  <c r="E48" i="1"/>
  <c r="E49" i="1"/>
  <c r="D49" i="2" s="1"/>
  <c r="E49" i="2" s="1"/>
  <c r="E50" i="1"/>
  <c r="D50" i="2" s="1"/>
  <c r="E51" i="1"/>
  <c r="E52" i="1"/>
  <c r="E53" i="1"/>
  <c r="E54" i="1"/>
  <c r="D54" i="2" s="1"/>
  <c r="E55" i="1"/>
  <c r="E56" i="1"/>
  <c r="E57" i="1"/>
  <c r="E58" i="1"/>
  <c r="E59" i="1"/>
  <c r="E60" i="1"/>
  <c r="E61" i="1"/>
  <c r="D61" i="2" s="1"/>
  <c r="E61" i="2" s="1"/>
  <c r="E62" i="1"/>
  <c r="D62" i="2" s="1"/>
  <c r="E63" i="1"/>
  <c r="E64" i="1"/>
  <c r="E65" i="1"/>
  <c r="D65" i="2" s="1"/>
  <c r="E65" i="2" s="1"/>
  <c r="E66" i="1"/>
  <c r="D66" i="2" s="1"/>
  <c r="E67" i="1"/>
  <c r="E68" i="1"/>
  <c r="E69" i="1"/>
  <c r="E70" i="1"/>
  <c r="D70" i="2" s="1"/>
  <c r="E71" i="1"/>
  <c r="E72" i="1"/>
  <c r="E73" i="1"/>
  <c r="E74" i="1"/>
  <c r="E75" i="1"/>
  <c r="E76" i="1"/>
  <c r="E77" i="1"/>
  <c r="D77" i="2" s="1"/>
  <c r="E77" i="2" s="1"/>
  <c r="E78" i="1"/>
  <c r="D78" i="2" s="1"/>
  <c r="E79" i="1"/>
  <c r="E80" i="1"/>
  <c r="E81" i="1"/>
  <c r="D81" i="2" s="1"/>
  <c r="E81" i="2" s="1"/>
  <c r="E82" i="1"/>
  <c r="D82" i="2" s="1"/>
  <c r="E83" i="1"/>
  <c r="E84" i="1"/>
  <c r="E85" i="1"/>
  <c r="E86" i="1"/>
  <c r="D86" i="2" s="1"/>
  <c r="E87" i="1"/>
  <c r="E88" i="1"/>
  <c r="E89" i="1"/>
  <c r="E90" i="1"/>
  <c r="E91" i="1"/>
  <c r="E92" i="1"/>
  <c r="E93" i="1"/>
  <c r="D93" i="2" s="1"/>
  <c r="E93" i="2" s="1"/>
  <c r="E94" i="1"/>
  <c r="D94" i="2" s="1"/>
  <c r="E95" i="1"/>
  <c r="E96" i="1"/>
  <c r="E97" i="1"/>
  <c r="D97" i="2" s="1"/>
  <c r="E97" i="2" s="1"/>
  <c r="E98" i="1"/>
  <c r="D98" i="2" s="1"/>
  <c r="E99" i="1"/>
  <c r="E100" i="1"/>
  <c r="E101" i="1"/>
  <c r="E102" i="1"/>
  <c r="D102" i="2" s="1"/>
  <c r="E103" i="1"/>
  <c r="E104" i="1"/>
  <c r="E105" i="1"/>
  <c r="E106" i="1"/>
  <c r="E107" i="1"/>
  <c r="E108" i="1"/>
  <c r="E109" i="1"/>
  <c r="D109" i="2" s="1"/>
  <c r="E109" i="2" s="1"/>
  <c r="E110" i="1"/>
  <c r="D110" i="2" s="1"/>
  <c r="E111" i="1"/>
  <c r="E112" i="1"/>
  <c r="E113" i="1"/>
  <c r="D113" i="2" s="1"/>
  <c r="E113" i="2" s="1"/>
  <c r="E114" i="1"/>
  <c r="D114" i="2" s="1"/>
  <c r="E115" i="1"/>
  <c r="E116" i="1"/>
  <c r="D10" i="2"/>
  <c r="D26" i="2"/>
  <c r="D42" i="2"/>
  <c r="D58" i="2"/>
  <c r="D74" i="2"/>
  <c r="D90" i="2"/>
  <c r="D106" i="2"/>
  <c r="C3" i="2"/>
  <c r="C4" i="2"/>
  <c r="E4" i="2" s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E40" i="2" s="1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E56" i="2" s="1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E88" i="2" s="1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2" i="2"/>
  <c r="D3" i="2"/>
  <c r="E3" i="2" s="1"/>
  <c r="E20" i="2"/>
  <c r="E57" i="2"/>
  <c r="E72" i="2"/>
  <c r="E73" i="2"/>
  <c r="E89" i="2"/>
  <c r="E104" i="2"/>
  <c r="E105" i="2"/>
  <c r="D4" i="2"/>
  <c r="D5" i="2"/>
  <c r="E5" i="2" s="1"/>
  <c r="D7" i="2"/>
  <c r="E7" i="2" s="1"/>
  <c r="D8" i="2"/>
  <c r="D9" i="2"/>
  <c r="E9" i="2" s="1"/>
  <c r="D11" i="2"/>
  <c r="E11" i="2" s="1"/>
  <c r="D12" i="2"/>
  <c r="E12" i="2" s="1"/>
  <c r="D15" i="2"/>
  <c r="E15" i="2" s="1"/>
  <c r="D16" i="2"/>
  <c r="D19" i="2"/>
  <c r="E19" i="2" s="1"/>
  <c r="D20" i="2"/>
  <c r="D21" i="2"/>
  <c r="E21" i="2" s="1"/>
  <c r="D23" i="2"/>
  <c r="E23" i="2" s="1"/>
  <c r="D24" i="2"/>
  <c r="D25" i="2"/>
  <c r="E25" i="2" s="1"/>
  <c r="D27" i="2"/>
  <c r="E27" i="2" s="1"/>
  <c r="D28" i="2"/>
  <c r="D31" i="2"/>
  <c r="E31" i="2" s="1"/>
  <c r="D32" i="2"/>
  <c r="E32" i="2" s="1"/>
  <c r="D35" i="2"/>
  <c r="E35" i="2" s="1"/>
  <c r="D36" i="2"/>
  <c r="D37" i="2"/>
  <c r="E37" i="2" s="1"/>
  <c r="D39" i="2"/>
  <c r="E39" i="2" s="1"/>
  <c r="D40" i="2"/>
  <c r="D41" i="2"/>
  <c r="E41" i="2" s="1"/>
  <c r="D43" i="2"/>
  <c r="E43" i="2" s="1"/>
  <c r="D44" i="2"/>
  <c r="E44" i="2" s="1"/>
  <c r="D47" i="2"/>
  <c r="E47" i="2" s="1"/>
  <c r="D48" i="2"/>
  <c r="D51" i="2"/>
  <c r="E51" i="2" s="1"/>
  <c r="D52" i="2"/>
  <c r="E52" i="2" s="1"/>
  <c r="D53" i="2"/>
  <c r="E53" i="2" s="1"/>
  <c r="D55" i="2"/>
  <c r="E55" i="2" s="1"/>
  <c r="D56" i="2"/>
  <c r="D57" i="2"/>
  <c r="D59" i="2"/>
  <c r="E59" i="2" s="1"/>
  <c r="D60" i="2"/>
  <c r="D63" i="2"/>
  <c r="E63" i="2" s="1"/>
  <c r="D64" i="2"/>
  <c r="E64" i="2" s="1"/>
  <c r="D67" i="2"/>
  <c r="E67" i="2" s="1"/>
  <c r="D68" i="2"/>
  <c r="D69" i="2"/>
  <c r="E69" i="2" s="1"/>
  <c r="D71" i="2"/>
  <c r="E71" i="2" s="1"/>
  <c r="D72" i="2"/>
  <c r="D73" i="2"/>
  <c r="D75" i="2"/>
  <c r="E75" i="2" s="1"/>
  <c r="D76" i="2"/>
  <c r="E76" i="2" s="1"/>
  <c r="D79" i="2"/>
  <c r="E79" i="2" s="1"/>
  <c r="D80" i="2"/>
  <c r="D83" i="2"/>
  <c r="E83" i="2" s="1"/>
  <c r="D84" i="2"/>
  <c r="E84" i="2" s="1"/>
  <c r="D85" i="2"/>
  <c r="E85" i="2" s="1"/>
  <c r="D87" i="2"/>
  <c r="E87" i="2" s="1"/>
  <c r="D88" i="2"/>
  <c r="D89" i="2"/>
  <c r="D91" i="2"/>
  <c r="E91" i="2" s="1"/>
  <c r="D92" i="2"/>
  <c r="D95" i="2"/>
  <c r="E95" i="2" s="1"/>
  <c r="D96" i="2"/>
  <c r="E96" i="2" s="1"/>
  <c r="D99" i="2"/>
  <c r="E99" i="2" s="1"/>
  <c r="D100" i="2"/>
  <c r="D101" i="2"/>
  <c r="E101" i="2" s="1"/>
  <c r="D103" i="2"/>
  <c r="E103" i="2" s="1"/>
  <c r="D104" i="2"/>
  <c r="D105" i="2"/>
  <c r="D107" i="2"/>
  <c r="E107" i="2" s="1"/>
  <c r="D108" i="2"/>
  <c r="E108" i="2" s="1"/>
  <c r="D111" i="2"/>
  <c r="E111" i="2" s="1"/>
  <c r="D112" i="2"/>
  <c r="D115" i="2"/>
  <c r="E115" i="2" s="1"/>
  <c r="D116" i="2"/>
  <c r="E116" i="2" s="1"/>
  <c r="D2" i="2"/>
  <c r="E2" i="2" s="1"/>
  <c r="H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2" i="1"/>
  <c r="H4" i="1"/>
  <c r="R4" i="1"/>
  <c r="R3" i="1"/>
  <c r="R2" i="1"/>
  <c r="R1" i="1"/>
  <c r="E24" i="2" l="1"/>
  <c r="E112" i="2"/>
  <c r="E100" i="2"/>
  <c r="E92" i="2"/>
  <c r="E80" i="2"/>
  <c r="E68" i="2"/>
  <c r="E60" i="2"/>
  <c r="E48" i="2"/>
  <c r="E36" i="2"/>
  <c r="E28" i="2"/>
  <c r="E16" i="2"/>
  <c r="E8" i="2"/>
  <c r="E114" i="2"/>
  <c r="E110" i="2"/>
  <c r="E106" i="2"/>
  <c r="E102" i="2"/>
  <c r="E98" i="2"/>
  <c r="E94" i="2"/>
  <c r="E90" i="2"/>
  <c r="E86" i="2"/>
  <c r="E82" i="2"/>
  <c r="E78" i="2"/>
  <c r="E74" i="2"/>
  <c r="E70" i="2"/>
  <c r="E66" i="2"/>
  <c r="E62" i="2"/>
  <c r="E58" i="2"/>
  <c r="E54" i="2"/>
  <c r="E50" i="2"/>
  <c r="E46" i="2"/>
  <c r="E42" i="2"/>
  <c r="E38" i="2"/>
  <c r="E34" i="2"/>
  <c r="E30" i="2"/>
  <c r="E26" i="2"/>
  <c r="E22" i="2"/>
  <c r="E18" i="2"/>
  <c r="E14" i="2"/>
  <c r="E10" i="2"/>
  <c r="E6" i="2"/>
  <c r="E117" i="1"/>
</calcChain>
</file>

<file path=xl/sharedStrings.xml><?xml version="1.0" encoding="utf-8"?>
<sst xmlns="http://schemas.openxmlformats.org/spreadsheetml/2006/main" count="19" uniqueCount="19">
  <si>
    <t>Neutron Yield (n/sr/uC/MeV)</t>
  </si>
  <si>
    <t>E (MeV)</t>
  </si>
  <si>
    <t>Start time: Mon Dec  9 15:04:31 2024</t>
  </si>
  <si>
    <t xml:space="preserve"> - 4294967296 ns</t>
  </si>
  <si>
    <t>Stop time: Mon Dec  9 15:30:43 2024</t>
  </si>
  <si>
    <t xml:space="preserve"> + 3634201155 ns</t>
  </si>
  <si>
    <t>Fluence (n/MeV/cm2)</t>
  </si>
  <si>
    <t>duration in seconds</t>
  </si>
  <si>
    <t>integrated charge (uC)</t>
  </si>
  <si>
    <t>Mean Beam current (uA)</t>
  </si>
  <si>
    <t>Flux (n/MeV/cm2/s) for 41.7 nA current at 3,407m distance from target face</t>
  </si>
  <si>
    <t>Energies(MeV)</t>
  </si>
  <si>
    <t>Spect points (n/sr/MeV/C/)Spec2.txt</t>
  </si>
  <si>
    <t>Lost in Transfer corrections</t>
  </si>
  <si>
    <t>DT based on erlang (used)</t>
  </si>
  <si>
    <t>Integrated charge used for normalization of each run:</t>
  </si>
  <si>
    <t xml:space="preserve">uC </t>
  </si>
  <si>
    <t>Acq dead time corr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</si>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</sst>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7" formatCode="[$-F400]h:mm:ss\ AM/PM"/>
    <numFmt numFmtId="175" formatCode="0.000"/>
    <numFmt numFmtId="177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7" fontId="0" fillId="0" borderId="0" xfId="0" applyNumberFormat="1"/>
    <xf numFmtId="0" fontId="0" fillId="0" borderId="0" xfId="0" applyNumberFormat="1"/>
    <xf numFmtId="175" fontId="0" fillId="0" borderId="0" xfId="0" applyNumberFormat="1"/>
    <xf numFmtId="177" fontId="0" fillId="0" borderId="0" xfId="42" applyNumberFormat="1" applyFont="1"/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centa" xfId="42" builtinId="5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</a:t>
            </a:r>
            <a:r>
              <a:rPr lang="cs-CZ"/>
              <a:t> Yield </a:t>
            </a:r>
            <a:r>
              <a:rPr lang="en-US"/>
              <a:t>-Spectrum</a:t>
            </a:r>
            <a:r>
              <a:rPr lang="cs-CZ"/>
              <a:t> p(32.6MeV)+Li(2mm)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Spec2!$A$2:$A$116</c:f>
              <c:numCache>
                <c:formatCode>General</c:formatCode>
                <c:ptCount val="115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13.6</c:v>
                </c:pt>
                <c:pt idx="9">
                  <c:v>13.8</c:v>
                </c:pt>
                <c:pt idx="10">
                  <c:v>14</c:v>
                </c:pt>
                <c:pt idx="11">
                  <c:v>14.2</c:v>
                </c:pt>
                <c:pt idx="12">
                  <c:v>14.4</c:v>
                </c:pt>
                <c:pt idx="13">
                  <c:v>14.6</c:v>
                </c:pt>
                <c:pt idx="14">
                  <c:v>14.8</c:v>
                </c:pt>
                <c:pt idx="15">
                  <c:v>15</c:v>
                </c:pt>
                <c:pt idx="16">
                  <c:v>15.2</c:v>
                </c:pt>
                <c:pt idx="17">
                  <c:v>15.4</c:v>
                </c:pt>
                <c:pt idx="18">
                  <c:v>15.6</c:v>
                </c:pt>
                <c:pt idx="19">
                  <c:v>15.8</c:v>
                </c:pt>
                <c:pt idx="20">
                  <c:v>16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16.8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17.8</c:v>
                </c:pt>
                <c:pt idx="30">
                  <c:v>18</c:v>
                </c:pt>
                <c:pt idx="31">
                  <c:v>18.2</c:v>
                </c:pt>
                <c:pt idx="32">
                  <c:v>18.399999999999999</c:v>
                </c:pt>
                <c:pt idx="33">
                  <c:v>18.600000000000001</c:v>
                </c:pt>
                <c:pt idx="34">
                  <c:v>18.8</c:v>
                </c:pt>
                <c:pt idx="35">
                  <c:v>19</c:v>
                </c:pt>
                <c:pt idx="36">
                  <c:v>19.2</c:v>
                </c:pt>
                <c:pt idx="37">
                  <c:v>19.399999999999999</c:v>
                </c:pt>
                <c:pt idx="38">
                  <c:v>19.600000000000001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20.2</c:v>
                </c:pt>
                <c:pt idx="42">
                  <c:v>20.399999999999999</c:v>
                </c:pt>
                <c:pt idx="43">
                  <c:v>20.6</c:v>
                </c:pt>
                <c:pt idx="44">
                  <c:v>20.8</c:v>
                </c:pt>
                <c:pt idx="45">
                  <c:v>21</c:v>
                </c:pt>
                <c:pt idx="46">
                  <c:v>21.2</c:v>
                </c:pt>
                <c:pt idx="47">
                  <c:v>21.4</c:v>
                </c:pt>
                <c:pt idx="48">
                  <c:v>21.6</c:v>
                </c:pt>
                <c:pt idx="49">
                  <c:v>21.8</c:v>
                </c:pt>
                <c:pt idx="50">
                  <c:v>22</c:v>
                </c:pt>
                <c:pt idx="51">
                  <c:v>22.2</c:v>
                </c:pt>
                <c:pt idx="52">
                  <c:v>22.4</c:v>
                </c:pt>
                <c:pt idx="53">
                  <c:v>22.6</c:v>
                </c:pt>
                <c:pt idx="54">
                  <c:v>22.8</c:v>
                </c:pt>
                <c:pt idx="55">
                  <c:v>23</c:v>
                </c:pt>
                <c:pt idx="56">
                  <c:v>23.2</c:v>
                </c:pt>
                <c:pt idx="57">
                  <c:v>23.4</c:v>
                </c:pt>
                <c:pt idx="58">
                  <c:v>23.6</c:v>
                </c:pt>
                <c:pt idx="59">
                  <c:v>23.8</c:v>
                </c:pt>
                <c:pt idx="60">
                  <c:v>24</c:v>
                </c:pt>
                <c:pt idx="61">
                  <c:v>24.2</c:v>
                </c:pt>
                <c:pt idx="62">
                  <c:v>24.4</c:v>
                </c:pt>
                <c:pt idx="63">
                  <c:v>24.6</c:v>
                </c:pt>
                <c:pt idx="64">
                  <c:v>24.8</c:v>
                </c:pt>
                <c:pt idx="65">
                  <c:v>25</c:v>
                </c:pt>
                <c:pt idx="66">
                  <c:v>25.2</c:v>
                </c:pt>
                <c:pt idx="67">
                  <c:v>25.4</c:v>
                </c:pt>
                <c:pt idx="68">
                  <c:v>25.6</c:v>
                </c:pt>
                <c:pt idx="69">
                  <c:v>25.8</c:v>
                </c:pt>
                <c:pt idx="70">
                  <c:v>26</c:v>
                </c:pt>
                <c:pt idx="71">
                  <c:v>26.2</c:v>
                </c:pt>
                <c:pt idx="72">
                  <c:v>26.4</c:v>
                </c:pt>
                <c:pt idx="73">
                  <c:v>26.6</c:v>
                </c:pt>
                <c:pt idx="74">
                  <c:v>26.8</c:v>
                </c:pt>
                <c:pt idx="75">
                  <c:v>27</c:v>
                </c:pt>
                <c:pt idx="76">
                  <c:v>27.2</c:v>
                </c:pt>
                <c:pt idx="77">
                  <c:v>27.4</c:v>
                </c:pt>
                <c:pt idx="78">
                  <c:v>27.6</c:v>
                </c:pt>
                <c:pt idx="79">
                  <c:v>27.8</c:v>
                </c:pt>
                <c:pt idx="80">
                  <c:v>28</c:v>
                </c:pt>
                <c:pt idx="81">
                  <c:v>28.2</c:v>
                </c:pt>
                <c:pt idx="82">
                  <c:v>28.4</c:v>
                </c:pt>
                <c:pt idx="83">
                  <c:v>28.6</c:v>
                </c:pt>
                <c:pt idx="84">
                  <c:v>28.8</c:v>
                </c:pt>
                <c:pt idx="85">
                  <c:v>29</c:v>
                </c:pt>
                <c:pt idx="86">
                  <c:v>29.2</c:v>
                </c:pt>
                <c:pt idx="87">
                  <c:v>29.4</c:v>
                </c:pt>
                <c:pt idx="88">
                  <c:v>29.6</c:v>
                </c:pt>
                <c:pt idx="89">
                  <c:v>29.8</c:v>
                </c:pt>
                <c:pt idx="90">
                  <c:v>30</c:v>
                </c:pt>
                <c:pt idx="91">
                  <c:v>30.2</c:v>
                </c:pt>
                <c:pt idx="92">
                  <c:v>30.4</c:v>
                </c:pt>
                <c:pt idx="93">
                  <c:v>30.6</c:v>
                </c:pt>
                <c:pt idx="94">
                  <c:v>30.8</c:v>
                </c:pt>
                <c:pt idx="95">
                  <c:v>31</c:v>
                </c:pt>
                <c:pt idx="96">
                  <c:v>31.2</c:v>
                </c:pt>
                <c:pt idx="97">
                  <c:v>31.4</c:v>
                </c:pt>
                <c:pt idx="98">
                  <c:v>31.6</c:v>
                </c:pt>
                <c:pt idx="99">
                  <c:v>31.8</c:v>
                </c:pt>
                <c:pt idx="100">
                  <c:v>32</c:v>
                </c:pt>
                <c:pt idx="101">
                  <c:v>32.200000000000003</c:v>
                </c:pt>
                <c:pt idx="102">
                  <c:v>32.4</c:v>
                </c:pt>
                <c:pt idx="103">
                  <c:v>32.6</c:v>
                </c:pt>
                <c:pt idx="104">
                  <c:v>32.799999999999997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33.4</c:v>
                </c:pt>
                <c:pt idx="108">
                  <c:v>33.6</c:v>
                </c:pt>
                <c:pt idx="109">
                  <c:v>33.799999999999997</c:v>
                </c:pt>
                <c:pt idx="110">
                  <c:v>34</c:v>
                </c:pt>
                <c:pt idx="111">
                  <c:v>34.200000000000003</c:v>
                </c:pt>
                <c:pt idx="112">
                  <c:v>34.4</c:v>
                </c:pt>
                <c:pt idx="113">
                  <c:v>34.6</c:v>
                </c:pt>
                <c:pt idx="114">
                  <c:v>34.799999999999997</c:v>
                </c:pt>
              </c:numCache>
            </c:numRef>
          </c:xVal>
          <c:yVal>
            <c:numRef>
              <c:f>Spec2!$E$2:$E$116</c:f>
              <c:numCache>
                <c:formatCode>0.0000E+00</c:formatCode>
                <c:ptCount val="115"/>
                <c:pt idx="0">
                  <c:v>100475177.03935775</c:v>
                </c:pt>
                <c:pt idx="1">
                  <c:v>98057176.564894021</c:v>
                </c:pt>
                <c:pt idx="2">
                  <c:v>97844996.746262684</c:v>
                </c:pt>
                <c:pt idx="3">
                  <c:v>93505005.364649206</c:v>
                </c:pt>
                <c:pt idx="4">
                  <c:v>92570416.97292316</c:v>
                </c:pt>
                <c:pt idx="5">
                  <c:v>92044122.383628696</c:v>
                </c:pt>
                <c:pt idx="6">
                  <c:v>89632954.505587369</c:v>
                </c:pt>
                <c:pt idx="7">
                  <c:v>89706820.412856758</c:v>
                </c:pt>
                <c:pt idx="8">
                  <c:v>87694897.763606519</c:v>
                </c:pt>
                <c:pt idx="9">
                  <c:v>86252111.929867014</c:v>
                </c:pt>
                <c:pt idx="10">
                  <c:v>85581963.486165404</c:v>
                </c:pt>
                <c:pt idx="11">
                  <c:v>84986973.603110403</c:v>
                </c:pt>
                <c:pt idx="12">
                  <c:v>83408089.835227013</c:v>
                </c:pt>
                <c:pt idx="13">
                  <c:v>82569157.793414831</c:v>
                </c:pt>
                <c:pt idx="14">
                  <c:v>83283256.451941729</c:v>
                </c:pt>
                <c:pt idx="15">
                  <c:v>81999097.654063269</c:v>
                </c:pt>
                <c:pt idx="16">
                  <c:v>77548122.74677749</c:v>
                </c:pt>
                <c:pt idx="17">
                  <c:v>77592811.620675489</c:v>
                </c:pt>
                <c:pt idx="18">
                  <c:v>75684485.906370595</c:v>
                </c:pt>
                <c:pt idx="19">
                  <c:v>74536979.036940485</c:v>
                </c:pt>
                <c:pt idx="20">
                  <c:v>74621555.500763953</c:v>
                </c:pt>
                <c:pt idx="21">
                  <c:v>72536690.268085182</c:v>
                </c:pt>
                <c:pt idx="22">
                  <c:v>73773574.885311276</c:v>
                </c:pt>
                <c:pt idx="23">
                  <c:v>70405658.843363047</c:v>
                </c:pt>
                <c:pt idx="24">
                  <c:v>70371865.190787315</c:v>
                </c:pt>
                <c:pt idx="25">
                  <c:v>68299926.4918807</c:v>
                </c:pt>
                <c:pt idx="26">
                  <c:v>66634434.947723947</c:v>
                </c:pt>
                <c:pt idx="27">
                  <c:v>66349866.539968595</c:v>
                </c:pt>
                <c:pt idx="28">
                  <c:v>66870990.515754186</c:v>
                </c:pt>
                <c:pt idx="29">
                  <c:v>63401139.521774217</c:v>
                </c:pt>
                <c:pt idx="30">
                  <c:v>64860729.849417515</c:v>
                </c:pt>
                <c:pt idx="31">
                  <c:v>61279156.670692593</c:v>
                </c:pt>
                <c:pt idx="32">
                  <c:v>60223428.191044718</c:v>
                </c:pt>
                <c:pt idx="33">
                  <c:v>61838136.923953757</c:v>
                </c:pt>
                <c:pt idx="34">
                  <c:v>59484399.788814388</c:v>
                </c:pt>
                <c:pt idx="35">
                  <c:v>59081645.929427996</c:v>
                </c:pt>
                <c:pt idx="36">
                  <c:v>58535407.545170799</c:v>
                </c:pt>
                <c:pt idx="37">
                  <c:v>58390076.372618258</c:v>
                </c:pt>
                <c:pt idx="38">
                  <c:v>57728237.843484446</c:v>
                </c:pt>
                <c:pt idx="39">
                  <c:v>55814372.186134353</c:v>
                </c:pt>
                <c:pt idx="40">
                  <c:v>55168414.827063471</c:v>
                </c:pt>
                <c:pt idx="41">
                  <c:v>54228101.827524036</c:v>
                </c:pt>
                <c:pt idx="42">
                  <c:v>51862730.811989725</c:v>
                </c:pt>
                <c:pt idx="43">
                  <c:v>51103204.620492138</c:v>
                </c:pt>
                <c:pt idx="44">
                  <c:v>51027861.395077355</c:v>
                </c:pt>
                <c:pt idx="45">
                  <c:v>48458251.145943172</c:v>
                </c:pt>
                <c:pt idx="46">
                  <c:v>47517938.146403737</c:v>
                </c:pt>
                <c:pt idx="47">
                  <c:v>44061198.350964084</c:v>
                </c:pt>
                <c:pt idx="48">
                  <c:v>47383871.524709783</c:v>
                </c:pt>
                <c:pt idx="49">
                  <c:v>43831844.708892599</c:v>
                </c:pt>
                <c:pt idx="50">
                  <c:v>43500740.779557526</c:v>
                </c:pt>
                <c:pt idx="51">
                  <c:v>41868304.228903823</c:v>
                </c:pt>
                <c:pt idx="52">
                  <c:v>42309837.689606659</c:v>
                </c:pt>
                <c:pt idx="53">
                  <c:v>40003744.064656056</c:v>
                </c:pt>
                <c:pt idx="54">
                  <c:v>41791299.020575486</c:v>
                </c:pt>
                <c:pt idx="55">
                  <c:v>41864795.598308541</c:v>
                </c:pt>
                <c:pt idx="56">
                  <c:v>39333226.29141809</c:v>
                </c:pt>
                <c:pt idx="57">
                  <c:v>40044185.64888604</c:v>
                </c:pt>
                <c:pt idx="58">
                  <c:v>38626329.558849961</c:v>
                </c:pt>
                <c:pt idx="59">
                  <c:v>39877433.363225386</c:v>
                </c:pt>
                <c:pt idx="60">
                  <c:v>36168626.159228906</c:v>
                </c:pt>
                <c:pt idx="61">
                  <c:v>35266354.101933219</c:v>
                </c:pt>
                <c:pt idx="62">
                  <c:v>35766426.294147044</c:v>
                </c:pt>
                <c:pt idx="63">
                  <c:v>34981785.694177859</c:v>
                </c:pt>
                <c:pt idx="64">
                  <c:v>35587855.463323265</c:v>
                </c:pt>
                <c:pt idx="65">
                  <c:v>35799481.287650101</c:v>
                </c:pt>
                <c:pt idx="66">
                  <c:v>34418742.816016868</c:v>
                </c:pt>
                <c:pt idx="67">
                  <c:v>37179850.429746963</c:v>
                </c:pt>
                <c:pt idx="68">
                  <c:v>38588657.946142562</c:v>
                </c:pt>
                <c:pt idx="69">
                  <c:v>41241367.340954818</c:v>
                </c:pt>
                <c:pt idx="70">
                  <c:v>40566048.283744343</c:v>
                </c:pt>
                <c:pt idx="71">
                  <c:v>38448682.051867053</c:v>
                </c:pt>
                <c:pt idx="72">
                  <c:v>40122483.510591611</c:v>
                </c:pt>
                <c:pt idx="73">
                  <c:v>43119592.698047444</c:v>
                </c:pt>
                <c:pt idx="74">
                  <c:v>42397368.7897209</c:v>
                </c:pt>
                <c:pt idx="75">
                  <c:v>40438075.599400111</c:v>
                </c:pt>
                <c:pt idx="76">
                  <c:v>37496919.836700857</c:v>
                </c:pt>
                <c:pt idx="77">
                  <c:v>39191773.078997195</c:v>
                </c:pt>
                <c:pt idx="78">
                  <c:v>41303968.697365642</c:v>
                </c:pt>
                <c:pt idx="79">
                  <c:v>43713474.5924934</c:v>
                </c:pt>
                <c:pt idx="80">
                  <c:v>46376525.214323379</c:v>
                </c:pt>
                <c:pt idx="81">
                  <c:v>50549025.651203483</c:v>
                </c:pt>
                <c:pt idx="82">
                  <c:v>59784295.37232814</c:v>
                </c:pt>
                <c:pt idx="83">
                  <c:v>71967553.452574477</c:v>
                </c:pt>
                <c:pt idx="84">
                  <c:v>93391621.196990684</c:v>
                </c:pt>
                <c:pt idx="85">
                  <c:v>122545202.14284486</c:v>
                </c:pt>
                <c:pt idx="86">
                  <c:v>159995771.12273416</c:v>
                </c:pt>
                <c:pt idx="87">
                  <c:v>202097122.28907296</c:v>
                </c:pt>
                <c:pt idx="88">
                  <c:v>247773952.69678694</c:v>
                </c:pt>
                <c:pt idx="89">
                  <c:v>289375231.67091197</c:v>
                </c:pt>
                <c:pt idx="90">
                  <c:v>349010871.90486038</c:v>
                </c:pt>
                <c:pt idx="91">
                  <c:v>399924795.13797468</c:v>
                </c:pt>
                <c:pt idx="92">
                  <c:v>444336671.88370025</c:v>
                </c:pt>
                <c:pt idx="93">
                  <c:v>478196803.77599227</c:v>
                </c:pt>
                <c:pt idx="94">
                  <c:v>474845138.23364335</c:v>
                </c:pt>
                <c:pt idx="95">
                  <c:v>464374645.87820619</c:v>
                </c:pt>
                <c:pt idx="96">
                  <c:v>454995522.30267441</c:v>
                </c:pt>
                <c:pt idx="97">
                  <c:v>440519651.12555414</c:v>
                </c:pt>
                <c:pt idx="98">
                  <c:v>420080954.58411163</c:v>
                </c:pt>
                <c:pt idx="99">
                  <c:v>378293164.19413149</c:v>
                </c:pt>
                <c:pt idx="100">
                  <c:v>342215208.43607581</c:v>
                </c:pt>
                <c:pt idx="101">
                  <c:v>297602047.09304106</c:v>
                </c:pt>
                <c:pt idx="102">
                  <c:v>252032322.25086772</c:v>
                </c:pt>
                <c:pt idx="103">
                  <c:v>227429435.18711299</c:v>
                </c:pt>
                <c:pt idx="104">
                  <c:v>192119684.86465901</c:v>
                </c:pt>
                <c:pt idx="105">
                  <c:v>175609361.93657136</c:v>
                </c:pt>
                <c:pt idx="106">
                  <c:v>152347141.08975616</c:v>
                </c:pt>
                <c:pt idx="107">
                  <c:v>126610227.68464799</c:v>
                </c:pt>
                <c:pt idx="108">
                  <c:v>104099223.1147626</c:v>
                </c:pt>
                <c:pt idx="109">
                  <c:v>83309109.519486025</c:v>
                </c:pt>
                <c:pt idx="110">
                  <c:v>70136232.946597934</c:v>
                </c:pt>
                <c:pt idx="111">
                  <c:v>57703308.099781029</c:v>
                </c:pt>
                <c:pt idx="112">
                  <c:v>44841222.331728928</c:v>
                </c:pt>
                <c:pt idx="113">
                  <c:v>35131548.82116656</c:v>
                </c:pt>
                <c:pt idx="114">
                  <c:v>25891477.816069391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B-41A9-8085-146D51438883}"/>
            </c:ext>
          </c:extLst>
        </c:ser>
        <c:ser>
          <c:idx val="1"/>
          <c:order val="1"/>
          <c:tx>
            <c:strRef>
              <c:f>'CHECK-dtcalc_er_SA.C'!$B$1</c:f>
              <c:strCache>
                <c:ptCount val="1"/>
                <c:pt idx="0">
                  <c:v>Spect points (n/sr/MeV/C/)Spec2.txt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'CHECK-dtcalc_er_SA.C'!$A$2:$A$116</c:f>
              <c:numCache>
                <c:formatCode>General</c:formatCode>
                <c:ptCount val="115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13.6</c:v>
                </c:pt>
                <c:pt idx="9">
                  <c:v>13.8</c:v>
                </c:pt>
                <c:pt idx="10">
                  <c:v>14</c:v>
                </c:pt>
                <c:pt idx="11">
                  <c:v>14.2</c:v>
                </c:pt>
                <c:pt idx="12">
                  <c:v>14.4</c:v>
                </c:pt>
                <c:pt idx="13">
                  <c:v>14.6</c:v>
                </c:pt>
                <c:pt idx="14">
                  <c:v>14.8</c:v>
                </c:pt>
                <c:pt idx="15">
                  <c:v>15</c:v>
                </c:pt>
                <c:pt idx="16">
                  <c:v>15.2</c:v>
                </c:pt>
                <c:pt idx="17">
                  <c:v>15.4</c:v>
                </c:pt>
                <c:pt idx="18">
                  <c:v>15.6</c:v>
                </c:pt>
                <c:pt idx="19">
                  <c:v>15.8</c:v>
                </c:pt>
                <c:pt idx="20">
                  <c:v>16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16.8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17.8</c:v>
                </c:pt>
                <c:pt idx="30">
                  <c:v>18</c:v>
                </c:pt>
                <c:pt idx="31">
                  <c:v>18.2</c:v>
                </c:pt>
                <c:pt idx="32">
                  <c:v>18.399999999999999</c:v>
                </c:pt>
                <c:pt idx="33">
                  <c:v>18.600000000000001</c:v>
                </c:pt>
                <c:pt idx="34">
                  <c:v>18.8</c:v>
                </c:pt>
                <c:pt idx="35">
                  <c:v>19</c:v>
                </c:pt>
                <c:pt idx="36">
                  <c:v>19.2</c:v>
                </c:pt>
                <c:pt idx="37">
                  <c:v>19.399999999999999</c:v>
                </c:pt>
                <c:pt idx="38">
                  <c:v>19.600000000000001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20.2</c:v>
                </c:pt>
                <c:pt idx="42">
                  <c:v>20.399999999999999</c:v>
                </c:pt>
                <c:pt idx="43">
                  <c:v>20.6</c:v>
                </c:pt>
                <c:pt idx="44">
                  <c:v>20.8</c:v>
                </c:pt>
                <c:pt idx="45">
                  <c:v>21</c:v>
                </c:pt>
                <c:pt idx="46">
                  <c:v>21.2</c:v>
                </c:pt>
                <c:pt idx="47">
                  <c:v>21.4</c:v>
                </c:pt>
                <c:pt idx="48">
                  <c:v>21.6</c:v>
                </c:pt>
                <c:pt idx="49">
                  <c:v>21.8</c:v>
                </c:pt>
                <c:pt idx="50">
                  <c:v>22</c:v>
                </c:pt>
                <c:pt idx="51">
                  <c:v>22.2</c:v>
                </c:pt>
                <c:pt idx="52">
                  <c:v>22.4</c:v>
                </c:pt>
                <c:pt idx="53">
                  <c:v>22.6</c:v>
                </c:pt>
                <c:pt idx="54">
                  <c:v>22.8</c:v>
                </c:pt>
                <c:pt idx="55">
                  <c:v>23</c:v>
                </c:pt>
                <c:pt idx="56">
                  <c:v>23.2</c:v>
                </c:pt>
                <c:pt idx="57">
                  <c:v>23.4</c:v>
                </c:pt>
                <c:pt idx="58">
                  <c:v>23.6</c:v>
                </c:pt>
                <c:pt idx="59">
                  <c:v>23.8</c:v>
                </c:pt>
                <c:pt idx="60">
                  <c:v>24</c:v>
                </c:pt>
                <c:pt idx="61">
                  <c:v>24.2</c:v>
                </c:pt>
                <c:pt idx="62">
                  <c:v>24.4</c:v>
                </c:pt>
                <c:pt idx="63">
                  <c:v>24.6</c:v>
                </c:pt>
                <c:pt idx="64">
                  <c:v>24.8</c:v>
                </c:pt>
                <c:pt idx="65">
                  <c:v>25</c:v>
                </c:pt>
                <c:pt idx="66">
                  <c:v>25.2</c:v>
                </c:pt>
                <c:pt idx="67">
                  <c:v>25.4</c:v>
                </c:pt>
                <c:pt idx="68">
                  <c:v>25.6</c:v>
                </c:pt>
                <c:pt idx="69">
                  <c:v>25.8</c:v>
                </c:pt>
                <c:pt idx="70">
                  <c:v>26</c:v>
                </c:pt>
                <c:pt idx="71">
                  <c:v>26.2</c:v>
                </c:pt>
                <c:pt idx="72">
                  <c:v>26.4</c:v>
                </c:pt>
                <c:pt idx="73">
                  <c:v>26.6</c:v>
                </c:pt>
                <c:pt idx="74">
                  <c:v>26.8</c:v>
                </c:pt>
                <c:pt idx="75">
                  <c:v>27</c:v>
                </c:pt>
                <c:pt idx="76">
                  <c:v>27.2</c:v>
                </c:pt>
                <c:pt idx="77">
                  <c:v>27.4</c:v>
                </c:pt>
                <c:pt idx="78">
                  <c:v>27.6</c:v>
                </c:pt>
                <c:pt idx="79">
                  <c:v>27.8</c:v>
                </c:pt>
                <c:pt idx="80">
                  <c:v>28</c:v>
                </c:pt>
                <c:pt idx="81">
                  <c:v>28.2</c:v>
                </c:pt>
                <c:pt idx="82">
                  <c:v>28.4</c:v>
                </c:pt>
                <c:pt idx="83">
                  <c:v>28.6</c:v>
                </c:pt>
                <c:pt idx="84">
                  <c:v>28.8</c:v>
                </c:pt>
                <c:pt idx="85">
                  <c:v>29</c:v>
                </c:pt>
                <c:pt idx="86">
                  <c:v>29.2</c:v>
                </c:pt>
                <c:pt idx="87">
                  <c:v>29.4</c:v>
                </c:pt>
                <c:pt idx="88">
                  <c:v>29.6</c:v>
                </c:pt>
                <c:pt idx="89">
                  <c:v>29.8</c:v>
                </c:pt>
                <c:pt idx="90">
                  <c:v>30</c:v>
                </c:pt>
                <c:pt idx="91">
                  <c:v>30.2</c:v>
                </c:pt>
                <c:pt idx="92">
                  <c:v>30.4</c:v>
                </c:pt>
                <c:pt idx="93">
                  <c:v>30.6</c:v>
                </c:pt>
                <c:pt idx="94">
                  <c:v>30.8</c:v>
                </c:pt>
                <c:pt idx="95">
                  <c:v>31</c:v>
                </c:pt>
                <c:pt idx="96">
                  <c:v>31.2</c:v>
                </c:pt>
                <c:pt idx="97">
                  <c:v>31.4</c:v>
                </c:pt>
                <c:pt idx="98">
                  <c:v>31.6</c:v>
                </c:pt>
                <c:pt idx="99">
                  <c:v>31.8</c:v>
                </c:pt>
                <c:pt idx="100">
                  <c:v>32</c:v>
                </c:pt>
                <c:pt idx="101">
                  <c:v>32.200000000000003</c:v>
                </c:pt>
                <c:pt idx="102">
                  <c:v>32.4</c:v>
                </c:pt>
                <c:pt idx="103">
                  <c:v>32.6</c:v>
                </c:pt>
                <c:pt idx="104">
                  <c:v>32.799999999999997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33.4</c:v>
                </c:pt>
                <c:pt idx="108">
                  <c:v>33.6</c:v>
                </c:pt>
                <c:pt idx="109">
                  <c:v>33.799999999999997</c:v>
                </c:pt>
                <c:pt idx="110">
                  <c:v>34</c:v>
                </c:pt>
                <c:pt idx="111">
                  <c:v>34.200000000000003</c:v>
                </c:pt>
                <c:pt idx="112">
                  <c:v>34.4</c:v>
                </c:pt>
                <c:pt idx="113">
                  <c:v>34.6</c:v>
                </c:pt>
                <c:pt idx="114">
                  <c:v>34.799999999999997</c:v>
                </c:pt>
              </c:numCache>
            </c:numRef>
          </c:xVal>
          <c:yVal>
            <c:numRef>
              <c:f>'CHECK-dtcalc_er_SA.C'!$C$2:$C$116</c:f>
              <c:numCache>
                <c:formatCode>General</c:formatCode>
                <c:ptCount val="115"/>
                <c:pt idx="0">
                  <c:v>100473411.302296</c:v>
                </c:pt>
                <c:pt idx="1">
                  <c:v>98055456.206779793</c:v>
                </c:pt>
                <c:pt idx="2">
                  <c:v>97843275.788963199</c:v>
                </c:pt>
                <c:pt idx="3">
                  <c:v>93503362.120434582</c:v>
                </c:pt>
                <c:pt idx="4">
                  <c:v>92568787.267701194</c:v>
                </c:pt>
                <c:pt idx="5">
                  <c:v>92042501.927436084</c:v>
                </c:pt>
                <c:pt idx="6">
                  <c:v>89631377.8655985</c:v>
                </c:pt>
                <c:pt idx="7">
                  <c:v>89705242.474758491</c:v>
                </c:pt>
                <c:pt idx="8">
                  <c:v>87693355.182762489</c:v>
                </c:pt>
                <c:pt idx="9">
                  <c:v>86250593.261676401</c:v>
                </c:pt>
                <c:pt idx="10">
                  <c:v>85580459.48040849</c:v>
                </c:pt>
                <c:pt idx="11">
                  <c:v>84985481.496292695</c:v>
                </c:pt>
                <c:pt idx="12">
                  <c:v>83406625.47549741</c:v>
                </c:pt>
                <c:pt idx="13">
                  <c:v>82567706.734294295</c:v>
                </c:pt>
                <c:pt idx="14">
                  <c:v>83281791.400680587</c:v>
                </c:pt>
                <c:pt idx="15">
                  <c:v>81997658.055770084</c:v>
                </c:pt>
                <c:pt idx="16">
                  <c:v>77546759.926642299</c:v>
                </c:pt>
                <c:pt idx="17">
                  <c:v>77591446.572515905</c:v>
                </c:pt>
                <c:pt idx="18">
                  <c:v>75683157.280203193</c:v>
                </c:pt>
                <c:pt idx="19">
                  <c:v>74535666.24889791</c:v>
                </c:pt>
                <c:pt idx="20">
                  <c:v>74620242.6690543</c:v>
                </c:pt>
                <c:pt idx="21">
                  <c:v>72535414.075512901</c:v>
                </c:pt>
                <c:pt idx="22">
                  <c:v>73772278.398565501</c:v>
                </c:pt>
                <c:pt idx="23">
                  <c:v>70404420.101246402</c:v>
                </c:pt>
                <c:pt idx="24">
                  <c:v>70370625.599887595</c:v>
                </c:pt>
                <c:pt idx="25">
                  <c:v>68298723.312949091</c:v>
                </c:pt>
                <c:pt idx="26">
                  <c:v>66633263.923249997</c:v>
                </c:pt>
                <c:pt idx="27">
                  <c:v>66348697.631124698</c:v>
                </c:pt>
                <c:pt idx="28">
                  <c:v>66869818.2194212</c:v>
                </c:pt>
                <c:pt idx="29">
                  <c:v>63400028.204129495</c:v>
                </c:pt>
                <c:pt idx="30">
                  <c:v>64859589.995795101</c:v>
                </c:pt>
                <c:pt idx="31">
                  <c:v>61278079.759148896</c:v>
                </c:pt>
                <c:pt idx="32">
                  <c:v>60222371.275397494</c:v>
                </c:pt>
                <c:pt idx="33">
                  <c:v>61837048.746299095</c:v>
                </c:pt>
                <c:pt idx="34">
                  <c:v>59483353.696749292</c:v>
                </c:pt>
                <c:pt idx="35">
                  <c:v>59080607.636638395</c:v>
                </c:pt>
                <c:pt idx="36">
                  <c:v>58534377.409231894</c:v>
                </c:pt>
                <c:pt idx="37">
                  <c:v>58389050.233377703</c:v>
                </c:pt>
                <c:pt idx="38">
                  <c:v>57727222.613969892</c:v>
                </c:pt>
                <c:pt idx="39">
                  <c:v>55813389.869299896</c:v>
                </c:pt>
                <c:pt idx="40">
                  <c:v>55167446.026197702</c:v>
                </c:pt>
                <c:pt idx="41">
                  <c:v>54227147.387588501</c:v>
                </c:pt>
                <c:pt idx="42">
                  <c:v>51861820.826098204</c:v>
                </c:pt>
                <c:pt idx="43">
                  <c:v>51102306.539742202</c:v>
                </c:pt>
                <c:pt idx="44">
                  <c:v>51026963.195730895</c:v>
                </c:pt>
                <c:pt idx="45">
                  <c:v>48457398.104576796</c:v>
                </c:pt>
                <c:pt idx="46">
                  <c:v>47517103.072637893</c:v>
                </c:pt>
                <c:pt idx="47">
                  <c:v>44060423.304138102</c:v>
                </c:pt>
                <c:pt idx="48">
                  <c:v>47383039.528346598</c:v>
                </c:pt>
                <c:pt idx="49">
                  <c:v>43831075.135364294</c:v>
                </c:pt>
                <c:pt idx="50">
                  <c:v>43499975.5821364</c:v>
                </c:pt>
                <c:pt idx="51">
                  <c:v>41867567.719700098</c:v>
                </c:pt>
                <c:pt idx="52">
                  <c:v>42309092.699620001</c:v>
                </c:pt>
                <c:pt idx="53">
                  <c:v>40003041.765646599</c:v>
                </c:pt>
                <c:pt idx="54">
                  <c:v>41790565.307318896</c:v>
                </c:pt>
                <c:pt idx="55">
                  <c:v>41864058.429430895</c:v>
                </c:pt>
                <c:pt idx="56">
                  <c:v>39332536.497330599</c:v>
                </c:pt>
                <c:pt idx="57">
                  <c:v>40043483.360495701</c:v>
                </c:pt>
                <c:pt idx="58">
                  <c:v>38625650.7450011</c:v>
                </c:pt>
                <c:pt idx="59">
                  <c:v>39876732.562648796</c:v>
                </c:pt>
                <c:pt idx="60">
                  <c:v>36167989.815390393</c:v>
                </c:pt>
                <c:pt idx="61">
                  <c:v>35265734.335834898</c:v>
                </c:pt>
                <c:pt idx="62">
                  <c:v>35765799.182516292</c:v>
                </c:pt>
                <c:pt idx="63">
                  <c:v>34981171.65038</c:v>
                </c:pt>
                <c:pt idx="64">
                  <c:v>35587229.325869799</c:v>
                </c:pt>
                <c:pt idx="65">
                  <c:v>35798850.709779203</c:v>
                </c:pt>
                <c:pt idx="66">
                  <c:v>34418137.945723698</c:v>
                </c:pt>
                <c:pt idx="67">
                  <c:v>37179195.593456894</c:v>
                </c:pt>
                <c:pt idx="68">
                  <c:v>38587979.072995394</c:v>
                </c:pt>
                <c:pt idx="69">
                  <c:v>41240641.8494545</c:v>
                </c:pt>
                <c:pt idx="70">
                  <c:v>40565336.1028772</c:v>
                </c:pt>
                <c:pt idx="71">
                  <c:v>38448007.802639395</c:v>
                </c:pt>
                <c:pt idx="72">
                  <c:v>40121776.960868999</c:v>
                </c:pt>
                <c:pt idx="73">
                  <c:v>43118833.477536701</c:v>
                </c:pt>
                <c:pt idx="74">
                  <c:v>42396622.982808702</c:v>
                </c:pt>
                <c:pt idx="75">
                  <c:v>40437364.224839292</c:v>
                </c:pt>
                <c:pt idx="76">
                  <c:v>37496261.592278495</c:v>
                </c:pt>
                <c:pt idx="77">
                  <c:v>39191082.885452792</c:v>
                </c:pt>
                <c:pt idx="78">
                  <c:v>41303242.827051699</c:v>
                </c:pt>
                <c:pt idx="79">
                  <c:v>43712707.820519499</c:v>
                </c:pt>
                <c:pt idx="80">
                  <c:v>46375710.920926899</c:v>
                </c:pt>
                <c:pt idx="81">
                  <c:v>50548138.030853294</c:v>
                </c:pt>
                <c:pt idx="82">
                  <c:v>59783244.731272995</c:v>
                </c:pt>
                <c:pt idx="83">
                  <c:v>71966288.704603091</c:v>
                </c:pt>
                <c:pt idx="84">
                  <c:v>93389982.830710292</c:v>
                </c:pt>
                <c:pt idx="85">
                  <c:v>122543045.66483499</c:v>
                </c:pt>
                <c:pt idx="86">
                  <c:v>159992965.14954099</c:v>
                </c:pt>
                <c:pt idx="87">
                  <c:v>202093570.66180199</c:v>
                </c:pt>
                <c:pt idx="88">
                  <c:v>247769598.351127</c:v>
                </c:pt>
                <c:pt idx="89">
                  <c:v>289370146.23004699</c:v>
                </c:pt>
                <c:pt idx="90">
                  <c:v>349004738.435386</c:v>
                </c:pt>
                <c:pt idx="91">
                  <c:v>399917766.91415596</c:v>
                </c:pt>
                <c:pt idx="92">
                  <c:v>444328863.171615</c:v>
                </c:pt>
                <c:pt idx="93">
                  <c:v>478188400.010566</c:v>
                </c:pt>
                <c:pt idx="94">
                  <c:v>474836793.36992997</c:v>
                </c:pt>
                <c:pt idx="95">
                  <c:v>464366485.02149796</c:v>
                </c:pt>
                <c:pt idx="96">
                  <c:v>454987526.27340496</c:v>
                </c:pt>
                <c:pt idx="97">
                  <c:v>440511909.49327099</c:v>
                </c:pt>
                <c:pt idx="98">
                  <c:v>420073572.138695</c:v>
                </c:pt>
                <c:pt idx="99">
                  <c:v>378286516.12164497</c:v>
                </c:pt>
                <c:pt idx="100">
                  <c:v>342209194.39266497</c:v>
                </c:pt>
                <c:pt idx="101">
                  <c:v>297596817.07524401</c:v>
                </c:pt>
                <c:pt idx="102">
                  <c:v>252027893.06920198</c:v>
                </c:pt>
                <c:pt idx="103">
                  <c:v>227425438.373229</c:v>
                </c:pt>
                <c:pt idx="104">
                  <c:v>192116308.57951298</c:v>
                </c:pt>
                <c:pt idx="105">
                  <c:v>175606270.03091699</c:v>
                </c:pt>
                <c:pt idx="106">
                  <c:v>152344457.99119899</c:v>
                </c:pt>
                <c:pt idx="107">
                  <c:v>126608008.42444299</c:v>
                </c:pt>
                <c:pt idx="108">
                  <c:v>104097393.689209</c:v>
                </c:pt>
                <c:pt idx="109">
                  <c:v>83307644.013886586</c:v>
                </c:pt>
                <c:pt idx="110">
                  <c:v>70135001.824671492</c:v>
                </c:pt>
                <c:pt idx="111">
                  <c:v>57702293.308378398</c:v>
                </c:pt>
                <c:pt idx="112">
                  <c:v>44840434.298201896</c:v>
                </c:pt>
                <c:pt idx="113">
                  <c:v>35130931.4241179</c:v>
                </c:pt>
                <c:pt idx="114">
                  <c:v>25891022.442101602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A-4312-B910-2110C2DC0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43551"/>
        <c:axId val="763921551"/>
      </c:scatterChart>
      <c:valAx>
        <c:axId val="299343551"/>
        <c:scaling>
          <c:orientation val="minMax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En[MeV]</a:t>
                </a:r>
              </a:p>
            </c:rich>
          </c:tx>
          <c:layout>
            <c:manualLayout>
              <c:xMode val="edge"/>
              <c:yMode val="edge"/>
              <c:x val="0.89235393740919999"/>
              <c:y val="0.92060668718537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21551"/>
        <c:crosses val="autoZero"/>
        <c:crossBetween val="midCat"/>
      </c:valAx>
      <c:valAx>
        <c:axId val="76392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n/sr/uC/MeV</a:t>
                </a:r>
              </a:p>
            </c:rich>
          </c:tx>
          <c:layout>
            <c:manualLayout>
              <c:xMode val="edge"/>
              <c:yMode val="edge"/>
              <c:x val="1.6309887869520898E-2"/>
              <c:y val="0.103061458250740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4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8263342082239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Spec2!$C$1</c:f>
              <c:strCache>
                <c:ptCount val="1"/>
                <c:pt idx="0">
                  <c:v>Flux (n/MeV/cm2/s) for 41.7 nA current at 3,407m distance from target face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Spec2!$A$2:$A$116</c:f>
              <c:numCache>
                <c:formatCode>General</c:formatCode>
                <c:ptCount val="115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13.6</c:v>
                </c:pt>
                <c:pt idx="9">
                  <c:v>13.8</c:v>
                </c:pt>
                <c:pt idx="10">
                  <c:v>14</c:v>
                </c:pt>
                <c:pt idx="11">
                  <c:v>14.2</c:v>
                </c:pt>
                <c:pt idx="12">
                  <c:v>14.4</c:v>
                </c:pt>
                <c:pt idx="13">
                  <c:v>14.6</c:v>
                </c:pt>
                <c:pt idx="14">
                  <c:v>14.8</c:v>
                </c:pt>
                <c:pt idx="15">
                  <c:v>15</c:v>
                </c:pt>
                <c:pt idx="16">
                  <c:v>15.2</c:v>
                </c:pt>
                <c:pt idx="17">
                  <c:v>15.4</c:v>
                </c:pt>
                <c:pt idx="18">
                  <c:v>15.6</c:v>
                </c:pt>
                <c:pt idx="19">
                  <c:v>15.8</c:v>
                </c:pt>
                <c:pt idx="20">
                  <c:v>16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16.8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17.8</c:v>
                </c:pt>
                <c:pt idx="30">
                  <c:v>18</c:v>
                </c:pt>
                <c:pt idx="31">
                  <c:v>18.2</c:v>
                </c:pt>
                <c:pt idx="32">
                  <c:v>18.399999999999999</c:v>
                </c:pt>
                <c:pt idx="33">
                  <c:v>18.600000000000001</c:v>
                </c:pt>
                <c:pt idx="34">
                  <c:v>18.8</c:v>
                </c:pt>
                <c:pt idx="35">
                  <c:v>19</c:v>
                </c:pt>
                <c:pt idx="36">
                  <c:v>19.2</c:v>
                </c:pt>
                <c:pt idx="37">
                  <c:v>19.399999999999999</c:v>
                </c:pt>
                <c:pt idx="38">
                  <c:v>19.600000000000001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20.2</c:v>
                </c:pt>
                <c:pt idx="42">
                  <c:v>20.399999999999999</c:v>
                </c:pt>
                <c:pt idx="43">
                  <c:v>20.6</c:v>
                </c:pt>
                <c:pt idx="44">
                  <c:v>20.8</c:v>
                </c:pt>
                <c:pt idx="45">
                  <c:v>21</c:v>
                </c:pt>
                <c:pt idx="46">
                  <c:v>21.2</c:v>
                </c:pt>
                <c:pt idx="47">
                  <c:v>21.4</c:v>
                </c:pt>
                <c:pt idx="48">
                  <c:v>21.6</c:v>
                </c:pt>
                <c:pt idx="49">
                  <c:v>21.8</c:v>
                </c:pt>
                <c:pt idx="50">
                  <c:v>22</c:v>
                </c:pt>
                <c:pt idx="51">
                  <c:v>22.2</c:v>
                </c:pt>
                <c:pt idx="52">
                  <c:v>22.4</c:v>
                </c:pt>
                <c:pt idx="53">
                  <c:v>22.6</c:v>
                </c:pt>
                <c:pt idx="54">
                  <c:v>22.8</c:v>
                </c:pt>
                <c:pt idx="55">
                  <c:v>23</c:v>
                </c:pt>
                <c:pt idx="56">
                  <c:v>23.2</c:v>
                </c:pt>
                <c:pt idx="57">
                  <c:v>23.4</c:v>
                </c:pt>
                <c:pt idx="58">
                  <c:v>23.6</c:v>
                </c:pt>
                <c:pt idx="59">
                  <c:v>23.8</c:v>
                </c:pt>
                <c:pt idx="60">
                  <c:v>24</c:v>
                </c:pt>
                <c:pt idx="61">
                  <c:v>24.2</c:v>
                </c:pt>
                <c:pt idx="62">
                  <c:v>24.4</c:v>
                </c:pt>
                <c:pt idx="63">
                  <c:v>24.6</c:v>
                </c:pt>
                <c:pt idx="64">
                  <c:v>24.8</c:v>
                </c:pt>
                <c:pt idx="65">
                  <c:v>25</c:v>
                </c:pt>
                <c:pt idx="66">
                  <c:v>25.2</c:v>
                </c:pt>
                <c:pt idx="67">
                  <c:v>25.4</c:v>
                </c:pt>
                <c:pt idx="68">
                  <c:v>25.6</c:v>
                </c:pt>
                <c:pt idx="69">
                  <c:v>25.8</c:v>
                </c:pt>
                <c:pt idx="70">
                  <c:v>26</c:v>
                </c:pt>
                <c:pt idx="71">
                  <c:v>26.2</c:v>
                </c:pt>
                <c:pt idx="72">
                  <c:v>26.4</c:v>
                </c:pt>
                <c:pt idx="73">
                  <c:v>26.6</c:v>
                </c:pt>
                <c:pt idx="74">
                  <c:v>26.8</c:v>
                </c:pt>
                <c:pt idx="75">
                  <c:v>27</c:v>
                </c:pt>
                <c:pt idx="76">
                  <c:v>27.2</c:v>
                </c:pt>
                <c:pt idx="77">
                  <c:v>27.4</c:v>
                </c:pt>
                <c:pt idx="78">
                  <c:v>27.6</c:v>
                </c:pt>
                <c:pt idx="79">
                  <c:v>27.8</c:v>
                </c:pt>
                <c:pt idx="80">
                  <c:v>28</c:v>
                </c:pt>
                <c:pt idx="81">
                  <c:v>28.2</c:v>
                </c:pt>
                <c:pt idx="82">
                  <c:v>28.4</c:v>
                </c:pt>
                <c:pt idx="83">
                  <c:v>28.6</c:v>
                </c:pt>
                <c:pt idx="84">
                  <c:v>28.8</c:v>
                </c:pt>
                <c:pt idx="85">
                  <c:v>29</c:v>
                </c:pt>
                <c:pt idx="86">
                  <c:v>29.2</c:v>
                </c:pt>
                <c:pt idx="87">
                  <c:v>29.4</c:v>
                </c:pt>
                <c:pt idx="88">
                  <c:v>29.6</c:v>
                </c:pt>
                <c:pt idx="89">
                  <c:v>29.8</c:v>
                </c:pt>
                <c:pt idx="90">
                  <c:v>30</c:v>
                </c:pt>
                <c:pt idx="91">
                  <c:v>30.2</c:v>
                </c:pt>
                <c:pt idx="92">
                  <c:v>30.4</c:v>
                </c:pt>
                <c:pt idx="93">
                  <c:v>30.6</c:v>
                </c:pt>
                <c:pt idx="94">
                  <c:v>30.8</c:v>
                </c:pt>
                <c:pt idx="95">
                  <c:v>31</c:v>
                </c:pt>
                <c:pt idx="96">
                  <c:v>31.2</c:v>
                </c:pt>
                <c:pt idx="97">
                  <c:v>31.4</c:v>
                </c:pt>
                <c:pt idx="98">
                  <c:v>31.6</c:v>
                </c:pt>
                <c:pt idx="99">
                  <c:v>31.8</c:v>
                </c:pt>
                <c:pt idx="100">
                  <c:v>32</c:v>
                </c:pt>
                <c:pt idx="101">
                  <c:v>32.200000000000003</c:v>
                </c:pt>
                <c:pt idx="102">
                  <c:v>32.4</c:v>
                </c:pt>
                <c:pt idx="103">
                  <c:v>32.6</c:v>
                </c:pt>
                <c:pt idx="104">
                  <c:v>32.799999999999997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33.4</c:v>
                </c:pt>
                <c:pt idx="108">
                  <c:v>33.6</c:v>
                </c:pt>
                <c:pt idx="109">
                  <c:v>33.799999999999997</c:v>
                </c:pt>
                <c:pt idx="110">
                  <c:v>34</c:v>
                </c:pt>
                <c:pt idx="111">
                  <c:v>34.200000000000003</c:v>
                </c:pt>
                <c:pt idx="112">
                  <c:v>34.4</c:v>
                </c:pt>
                <c:pt idx="113">
                  <c:v>34.6</c:v>
                </c:pt>
                <c:pt idx="114">
                  <c:v>34.799999999999997</c:v>
                </c:pt>
              </c:numCache>
            </c:numRef>
          </c:xVal>
          <c:yVal>
            <c:numRef>
              <c:f>Spec2!$C$2:$C$116</c:f>
              <c:numCache>
                <c:formatCode>0.000</c:formatCode>
                <c:ptCount val="115"/>
                <c:pt idx="0">
                  <c:v>34.824625231908435</c:v>
                </c:pt>
                <c:pt idx="1">
                  <c:v>33.986547979247391</c:v>
                </c:pt>
                <c:pt idx="2">
                  <c:v>33.913006604319371</c:v>
                </c:pt>
                <c:pt idx="3">
                  <c:v>32.408768663885596</c:v>
                </c:pt>
                <c:pt idx="4">
                  <c:v>32.084840988941544</c:v>
                </c:pt>
                <c:pt idx="5">
                  <c:v>31.902427656874639</c:v>
                </c:pt>
                <c:pt idx="6">
                  <c:v>31.066718577296573</c:v>
                </c:pt>
                <c:pt idx="7">
                  <c:v>31.092320448463855</c:v>
                </c:pt>
                <c:pt idx="8">
                  <c:v>30.394989482544961</c:v>
                </c:pt>
                <c:pt idx="9">
                  <c:v>29.894920933969988</c:v>
                </c:pt>
                <c:pt idx="10">
                  <c:v>29.662647957804801</c:v>
                </c:pt>
                <c:pt idx="11">
                  <c:v>29.456424885552334</c:v>
                </c:pt>
                <c:pt idx="12">
                  <c:v>28.909184889351636</c:v>
                </c:pt>
                <c:pt idx="13">
                  <c:v>28.618411637569206</c:v>
                </c:pt>
                <c:pt idx="14">
                  <c:v>28.865917727078923</c:v>
                </c:pt>
                <c:pt idx="15">
                  <c:v>28.420829196835694</c:v>
                </c:pt>
                <c:pt idx="16">
                  <c:v>26.878124444973079</c:v>
                </c:pt>
                <c:pt idx="17">
                  <c:v>26.893613577029285</c:v>
                </c:pt>
                <c:pt idx="18">
                  <c:v>26.232189235422506</c:v>
                </c:pt>
                <c:pt idx="19">
                  <c:v>25.83446416683875</c:v>
                </c:pt>
                <c:pt idx="20">
                  <c:v>25.863778309325284</c:v>
                </c:pt>
                <c:pt idx="21">
                  <c:v>25.141165495628698</c:v>
                </c:pt>
                <c:pt idx="22">
                  <c:v>25.569868828324868</c:v>
                </c:pt>
                <c:pt idx="23">
                  <c:v>24.402551512452554</c:v>
                </c:pt>
                <c:pt idx="24">
                  <c:v>24.390838656393523</c:v>
                </c:pt>
                <c:pt idx="25">
                  <c:v>23.672706170151208</c:v>
                </c:pt>
                <c:pt idx="26">
                  <c:v>23.095447980006874</c:v>
                </c:pt>
                <c:pt idx="27">
                  <c:v>22.99681677133491</c:v>
                </c:pt>
                <c:pt idx="28">
                  <c:v>23.177437972420098</c:v>
                </c:pt>
                <c:pt idx="29">
                  <c:v>21.974790074336934</c:v>
                </c:pt>
                <c:pt idx="30">
                  <c:v>22.480683048602465</c:v>
                </c:pt>
                <c:pt idx="31">
                  <c:v>21.239312320378783</c:v>
                </c:pt>
                <c:pt idx="32">
                  <c:v>20.873397576720379</c:v>
                </c:pt>
                <c:pt idx="33">
                  <c:v>21.433054480437203</c:v>
                </c:pt>
                <c:pt idx="34">
                  <c:v>20.617250855691701</c:v>
                </c:pt>
                <c:pt idx="35">
                  <c:v>20.477656653152085</c:v>
                </c:pt>
                <c:pt idx="36">
                  <c:v>20.288330815870022</c:v>
                </c:pt>
                <c:pt idx="37">
                  <c:v>20.23795913434839</c:v>
                </c:pt>
                <c:pt idx="38">
                  <c:v>20.008566368689525</c:v>
                </c:pt>
                <c:pt idx="39">
                  <c:v>19.345221886745197</c:v>
                </c:pt>
                <c:pt idx="40">
                  <c:v>19.1213335233873</c:v>
                </c:pt>
                <c:pt idx="41">
                  <c:v>18.795421703427774</c:v>
                </c:pt>
                <c:pt idx="42">
                  <c:v>17.975585783973422</c:v>
                </c:pt>
                <c:pt idx="43">
                  <c:v>17.712334543695825</c:v>
                </c:pt>
                <c:pt idx="44">
                  <c:v>17.686220635105197</c:v>
                </c:pt>
                <c:pt idx="45">
                  <c:v>16.795595541873304</c:v>
                </c:pt>
                <c:pt idx="46">
                  <c:v>16.469683721913778</c:v>
                </c:pt>
                <c:pt idx="47">
                  <c:v>15.271580155962807</c:v>
                </c:pt>
                <c:pt idx="48">
                  <c:v>16.423216325745159</c:v>
                </c:pt>
                <c:pt idx="49">
                  <c:v>15.192086345988393</c:v>
                </c:pt>
                <c:pt idx="50">
                  <c:v>15.07732595848104</c:v>
                </c:pt>
                <c:pt idx="51">
                  <c:v>14.511524605684064</c:v>
                </c:pt>
                <c:pt idx="52">
                  <c:v>14.664559790586505</c:v>
                </c:pt>
                <c:pt idx="53">
                  <c:v>13.865269372743901</c:v>
                </c:pt>
                <c:pt idx="54">
                  <c:v>14.484834654992172</c:v>
                </c:pt>
                <c:pt idx="55">
                  <c:v>14.510308516803621</c:v>
                </c:pt>
                <c:pt idx="56">
                  <c:v>13.632868387222878</c:v>
                </c:pt>
                <c:pt idx="57">
                  <c:v>13.879286397207986</c:v>
                </c:pt>
                <c:pt idx="58">
                  <c:v>13.387858480151971</c:v>
                </c:pt>
                <c:pt idx="59">
                  <c:v>13.821490173047843</c:v>
                </c:pt>
                <c:pt idx="60">
                  <c:v>12.536020221738514</c:v>
                </c:pt>
                <c:pt idx="61">
                  <c:v>12.223293365430141</c:v>
                </c:pt>
                <c:pt idx="62">
                  <c:v>12.396618033232654</c:v>
                </c:pt>
                <c:pt idx="63">
                  <c:v>12.12466215675818</c:v>
                </c:pt>
                <c:pt idx="64">
                  <c:v>12.334725509685743</c:v>
                </c:pt>
                <c:pt idx="65">
                  <c:v>12.408074870580014</c:v>
                </c:pt>
                <c:pt idx="66">
                  <c:v>11.929511893785559</c:v>
                </c:pt>
                <c:pt idx="67">
                  <c:v>12.886509838018634</c:v>
                </c:pt>
                <c:pt idx="68">
                  <c:v>13.374801525856656</c:v>
                </c:pt>
                <c:pt idx="69">
                  <c:v>14.294228724151742</c:v>
                </c:pt>
                <c:pt idx="70">
                  <c:v>14.060163617004848</c:v>
                </c:pt>
                <c:pt idx="71">
                  <c:v>13.326285979994653</c:v>
                </c:pt>
                <c:pt idx="72">
                  <c:v>13.906424380645309</c:v>
                </c:pt>
                <c:pt idx="73">
                  <c:v>14.945220303257855</c:v>
                </c:pt>
                <c:pt idx="74">
                  <c:v>14.694898007919734</c:v>
                </c:pt>
                <c:pt idx="75">
                  <c:v>14.015808375207529</c:v>
                </c:pt>
                <c:pt idx="76">
                  <c:v>12.996405870004201</c:v>
                </c:pt>
                <c:pt idx="77">
                  <c:v>13.58384080393753</c:v>
                </c:pt>
                <c:pt idx="78">
                  <c:v>14.315926309966015</c:v>
                </c:pt>
                <c:pt idx="79">
                  <c:v>15.151059347442818</c:v>
                </c:pt>
                <c:pt idx="80">
                  <c:v>16.074070807701325</c:v>
                </c:pt>
                <c:pt idx="81">
                  <c:v>17.520256505263276</c:v>
                </c:pt>
                <c:pt idx="82">
                  <c:v>20.721194452630876</c:v>
                </c:pt>
                <c:pt idx="83">
                  <c:v>24.943903078284773</c:v>
                </c:pt>
                <c:pt idx="84">
                  <c:v>32.369469791643816</c:v>
                </c:pt>
                <c:pt idx="85">
                  <c:v>42.474080308625368</c:v>
                </c:pt>
                <c:pt idx="86">
                  <c:v>55.454421004472103</c:v>
                </c:pt>
                <c:pt idx="87">
                  <c:v>70.046719513688942</c:v>
                </c:pt>
                <c:pt idx="88">
                  <c:v>85.87827659675817</c:v>
                </c:pt>
                <c:pt idx="89">
                  <c:v>100.29725043817251</c:v>
                </c:pt>
                <c:pt idx="90">
                  <c:v>120.96692112507922</c:v>
                </c:pt>
                <c:pt idx="91">
                  <c:v>138.61365087390891</c:v>
                </c:pt>
                <c:pt idx="92">
                  <c:v>154.00677591323836</c:v>
                </c:pt>
                <c:pt idx="93">
                  <c:v>165.74267365632136</c:v>
                </c:pt>
                <c:pt idx="94">
                  <c:v>164.58098875210584</c:v>
                </c:pt>
                <c:pt idx="95">
                  <c:v>160.95192351414335</c:v>
                </c:pt>
                <c:pt idx="96">
                  <c:v>157.70112592267745</c:v>
                </c:pt>
                <c:pt idx="97">
                  <c:v>152.68379922066899</c:v>
                </c:pt>
                <c:pt idx="98">
                  <c:v>145.59976146868149</c:v>
                </c:pt>
                <c:pt idx="99">
                  <c:v>131.11614290256978</c:v>
                </c:pt>
                <c:pt idx="100">
                  <c:v>118.61154897768911</c:v>
                </c:pt>
                <c:pt idx="101">
                  <c:v>103.14865883942876</c:v>
                </c:pt>
                <c:pt idx="102">
                  <c:v>87.354224469552094</c:v>
                </c:pt>
                <c:pt idx="103">
                  <c:v>78.826881230508988</c:v>
                </c:pt>
                <c:pt idx="104">
                  <c:v>66.588546765768072</c:v>
                </c:pt>
                <c:pt idx="105">
                  <c:v>60.866080527134677</c:v>
                </c:pt>
                <c:pt idx="106">
                  <c:v>52.803411249777767</c:v>
                </c:pt>
                <c:pt idx="107">
                  <c:v>43.883015283638926</c:v>
                </c:pt>
                <c:pt idx="108">
                  <c:v>36.080717036053301</c:v>
                </c:pt>
                <c:pt idx="109">
                  <c:v>28.874878381987472</c:v>
                </c:pt>
                <c:pt idx="110">
                  <c:v>24.309168687369887</c:v>
                </c:pt>
                <c:pt idx="111">
                  <c:v>19.999925737170564</c:v>
                </c:pt>
                <c:pt idx="112">
                  <c:v>15.541935915489326</c:v>
                </c:pt>
                <c:pt idx="113">
                  <c:v>12.176569950549849</c:v>
                </c:pt>
                <c:pt idx="114">
                  <c:v>8.9739678815563781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E-4E14-AC35-0FD699FD4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585832"/>
        <c:axId val="631585472"/>
      </c:scatterChart>
      <c:valAx>
        <c:axId val="63158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585472"/>
        <c:crosses val="autoZero"/>
        <c:crossBetween val="midCat"/>
      </c:valAx>
      <c:valAx>
        <c:axId val="6315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585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'CHECK-dtcalc_er_SA.C'!$B$1</c:f>
              <c:strCache>
                <c:ptCount val="1"/>
                <c:pt idx="0">
                  <c:v>Spect points (n/sr/MeV/C/)Spec2.txt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'CHECK-dtcalc_er_SA.C'!$A$2:$A$116</c:f>
              <c:numCache>
                <c:formatCode>General</c:formatCode>
                <c:ptCount val="115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13.6</c:v>
                </c:pt>
                <c:pt idx="9">
                  <c:v>13.8</c:v>
                </c:pt>
                <c:pt idx="10">
                  <c:v>14</c:v>
                </c:pt>
                <c:pt idx="11">
                  <c:v>14.2</c:v>
                </c:pt>
                <c:pt idx="12">
                  <c:v>14.4</c:v>
                </c:pt>
                <c:pt idx="13">
                  <c:v>14.6</c:v>
                </c:pt>
                <c:pt idx="14">
                  <c:v>14.8</c:v>
                </c:pt>
                <c:pt idx="15">
                  <c:v>15</c:v>
                </c:pt>
                <c:pt idx="16">
                  <c:v>15.2</c:v>
                </c:pt>
                <c:pt idx="17">
                  <c:v>15.4</c:v>
                </c:pt>
                <c:pt idx="18">
                  <c:v>15.6</c:v>
                </c:pt>
                <c:pt idx="19">
                  <c:v>15.8</c:v>
                </c:pt>
                <c:pt idx="20">
                  <c:v>16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16.8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17.8</c:v>
                </c:pt>
                <c:pt idx="30">
                  <c:v>18</c:v>
                </c:pt>
                <c:pt idx="31">
                  <c:v>18.2</c:v>
                </c:pt>
                <c:pt idx="32">
                  <c:v>18.399999999999999</c:v>
                </c:pt>
                <c:pt idx="33">
                  <c:v>18.600000000000001</c:v>
                </c:pt>
                <c:pt idx="34">
                  <c:v>18.8</c:v>
                </c:pt>
                <c:pt idx="35">
                  <c:v>19</c:v>
                </c:pt>
                <c:pt idx="36">
                  <c:v>19.2</c:v>
                </c:pt>
                <c:pt idx="37">
                  <c:v>19.399999999999999</c:v>
                </c:pt>
                <c:pt idx="38">
                  <c:v>19.600000000000001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20.2</c:v>
                </c:pt>
                <c:pt idx="42">
                  <c:v>20.399999999999999</c:v>
                </c:pt>
                <c:pt idx="43">
                  <c:v>20.6</c:v>
                </c:pt>
                <c:pt idx="44">
                  <c:v>20.8</c:v>
                </c:pt>
                <c:pt idx="45">
                  <c:v>21</c:v>
                </c:pt>
                <c:pt idx="46">
                  <c:v>21.2</c:v>
                </c:pt>
                <c:pt idx="47">
                  <c:v>21.4</c:v>
                </c:pt>
                <c:pt idx="48">
                  <c:v>21.6</c:v>
                </c:pt>
                <c:pt idx="49">
                  <c:v>21.8</c:v>
                </c:pt>
                <c:pt idx="50">
                  <c:v>22</c:v>
                </c:pt>
                <c:pt idx="51">
                  <c:v>22.2</c:v>
                </c:pt>
                <c:pt idx="52">
                  <c:v>22.4</c:v>
                </c:pt>
                <c:pt idx="53">
                  <c:v>22.6</c:v>
                </c:pt>
                <c:pt idx="54">
                  <c:v>22.8</c:v>
                </c:pt>
                <c:pt idx="55">
                  <c:v>23</c:v>
                </c:pt>
                <c:pt idx="56">
                  <c:v>23.2</c:v>
                </c:pt>
                <c:pt idx="57">
                  <c:v>23.4</c:v>
                </c:pt>
                <c:pt idx="58">
                  <c:v>23.6</c:v>
                </c:pt>
                <c:pt idx="59">
                  <c:v>23.8</c:v>
                </c:pt>
                <c:pt idx="60">
                  <c:v>24</c:v>
                </c:pt>
                <c:pt idx="61">
                  <c:v>24.2</c:v>
                </c:pt>
                <c:pt idx="62">
                  <c:v>24.4</c:v>
                </c:pt>
                <c:pt idx="63">
                  <c:v>24.6</c:v>
                </c:pt>
                <c:pt idx="64">
                  <c:v>24.8</c:v>
                </c:pt>
                <c:pt idx="65">
                  <c:v>25</c:v>
                </c:pt>
                <c:pt idx="66">
                  <c:v>25.2</c:v>
                </c:pt>
                <c:pt idx="67">
                  <c:v>25.4</c:v>
                </c:pt>
                <c:pt idx="68">
                  <c:v>25.6</c:v>
                </c:pt>
                <c:pt idx="69">
                  <c:v>25.8</c:v>
                </c:pt>
                <c:pt idx="70">
                  <c:v>26</c:v>
                </c:pt>
                <c:pt idx="71">
                  <c:v>26.2</c:v>
                </c:pt>
                <c:pt idx="72">
                  <c:v>26.4</c:v>
                </c:pt>
                <c:pt idx="73">
                  <c:v>26.6</c:v>
                </c:pt>
                <c:pt idx="74">
                  <c:v>26.8</c:v>
                </c:pt>
                <c:pt idx="75">
                  <c:v>27</c:v>
                </c:pt>
                <c:pt idx="76">
                  <c:v>27.2</c:v>
                </c:pt>
                <c:pt idx="77">
                  <c:v>27.4</c:v>
                </c:pt>
                <c:pt idx="78">
                  <c:v>27.6</c:v>
                </c:pt>
                <c:pt idx="79">
                  <c:v>27.8</c:v>
                </c:pt>
                <c:pt idx="80">
                  <c:v>28</c:v>
                </c:pt>
                <c:pt idx="81">
                  <c:v>28.2</c:v>
                </c:pt>
                <c:pt idx="82">
                  <c:v>28.4</c:v>
                </c:pt>
                <c:pt idx="83">
                  <c:v>28.6</c:v>
                </c:pt>
                <c:pt idx="84">
                  <c:v>28.8</c:v>
                </c:pt>
                <c:pt idx="85">
                  <c:v>29</c:v>
                </c:pt>
                <c:pt idx="86">
                  <c:v>29.2</c:v>
                </c:pt>
                <c:pt idx="87">
                  <c:v>29.4</c:v>
                </c:pt>
                <c:pt idx="88">
                  <c:v>29.6</c:v>
                </c:pt>
                <c:pt idx="89">
                  <c:v>29.8</c:v>
                </c:pt>
                <c:pt idx="90">
                  <c:v>30</c:v>
                </c:pt>
                <c:pt idx="91">
                  <c:v>30.2</c:v>
                </c:pt>
                <c:pt idx="92">
                  <c:v>30.4</c:v>
                </c:pt>
                <c:pt idx="93">
                  <c:v>30.6</c:v>
                </c:pt>
                <c:pt idx="94">
                  <c:v>30.8</c:v>
                </c:pt>
                <c:pt idx="95">
                  <c:v>31</c:v>
                </c:pt>
                <c:pt idx="96">
                  <c:v>31.2</c:v>
                </c:pt>
                <c:pt idx="97">
                  <c:v>31.4</c:v>
                </c:pt>
                <c:pt idx="98">
                  <c:v>31.6</c:v>
                </c:pt>
                <c:pt idx="99">
                  <c:v>31.8</c:v>
                </c:pt>
                <c:pt idx="100">
                  <c:v>32</c:v>
                </c:pt>
                <c:pt idx="101">
                  <c:v>32.200000000000003</c:v>
                </c:pt>
                <c:pt idx="102">
                  <c:v>32.4</c:v>
                </c:pt>
                <c:pt idx="103">
                  <c:v>32.6</c:v>
                </c:pt>
                <c:pt idx="104">
                  <c:v>32.799999999999997</c:v>
                </c:pt>
                <c:pt idx="105">
                  <c:v>33</c:v>
                </c:pt>
                <c:pt idx="106">
                  <c:v>33.200000000000003</c:v>
                </c:pt>
                <c:pt idx="107">
                  <c:v>33.4</c:v>
                </c:pt>
                <c:pt idx="108">
                  <c:v>33.6</c:v>
                </c:pt>
                <c:pt idx="109">
                  <c:v>33.799999999999997</c:v>
                </c:pt>
                <c:pt idx="110">
                  <c:v>34</c:v>
                </c:pt>
                <c:pt idx="111">
                  <c:v>34.200000000000003</c:v>
                </c:pt>
                <c:pt idx="112">
                  <c:v>34.4</c:v>
                </c:pt>
                <c:pt idx="113">
                  <c:v>34.6</c:v>
                </c:pt>
                <c:pt idx="114">
                  <c:v>34.799999999999997</c:v>
                </c:pt>
              </c:numCache>
            </c:numRef>
          </c:xVal>
          <c:yVal>
            <c:numRef>
              <c:f>'CHECK-dtcalc_er_SA.C'!$B$2:$B$116</c:f>
              <c:numCache>
                <c:formatCode>General</c:formatCode>
                <c:ptCount val="115"/>
                <c:pt idx="0">
                  <c:v>100473411302296</c:v>
                </c:pt>
                <c:pt idx="1">
                  <c:v>98055456206779.797</c:v>
                </c:pt>
                <c:pt idx="2">
                  <c:v>97843275788963.203</c:v>
                </c:pt>
                <c:pt idx="3">
                  <c:v>93503362120434.594</c:v>
                </c:pt>
                <c:pt idx="4">
                  <c:v>92568787267701.203</c:v>
                </c:pt>
                <c:pt idx="5">
                  <c:v>92042501927436.094</c:v>
                </c:pt>
                <c:pt idx="6">
                  <c:v>89631377865598.5</c:v>
                </c:pt>
                <c:pt idx="7">
                  <c:v>89705242474758.5</c:v>
                </c:pt>
                <c:pt idx="8">
                  <c:v>87693355182762.5</c:v>
                </c:pt>
                <c:pt idx="9">
                  <c:v>86250593261676.406</c:v>
                </c:pt>
                <c:pt idx="10">
                  <c:v>85580459480408.5</c:v>
                </c:pt>
                <c:pt idx="11">
                  <c:v>84985481496292.703</c:v>
                </c:pt>
                <c:pt idx="12">
                  <c:v>83406625475497.406</c:v>
                </c:pt>
                <c:pt idx="13">
                  <c:v>82567706734294.297</c:v>
                </c:pt>
                <c:pt idx="14">
                  <c:v>83281791400680.594</c:v>
                </c:pt>
                <c:pt idx="15">
                  <c:v>81997658055770.094</c:v>
                </c:pt>
                <c:pt idx="16">
                  <c:v>77546759926642.297</c:v>
                </c:pt>
                <c:pt idx="17">
                  <c:v>77591446572515.906</c:v>
                </c:pt>
                <c:pt idx="18">
                  <c:v>75683157280203.203</c:v>
                </c:pt>
                <c:pt idx="19">
                  <c:v>74535666248897.906</c:v>
                </c:pt>
                <c:pt idx="20">
                  <c:v>74620242669054.297</c:v>
                </c:pt>
                <c:pt idx="21">
                  <c:v>72535414075512.906</c:v>
                </c:pt>
                <c:pt idx="22">
                  <c:v>73772278398565.5</c:v>
                </c:pt>
                <c:pt idx="23">
                  <c:v>70404420101246.406</c:v>
                </c:pt>
                <c:pt idx="24">
                  <c:v>70370625599887.594</c:v>
                </c:pt>
                <c:pt idx="25">
                  <c:v>68298723312949.102</c:v>
                </c:pt>
                <c:pt idx="26">
                  <c:v>66633263923250</c:v>
                </c:pt>
                <c:pt idx="27">
                  <c:v>66348697631124.703</c:v>
                </c:pt>
                <c:pt idx="28">
                  <c:v>66869818219421.203</c:v>
                </c:pt>
                <c:pt idx="29">
                  <c:v>63400028204129.5</c:v>
                </c:pt>
                <c:pt idx="30">
                  <c:v>64859589995795.102</c:v>
                </c:pt>
                <c:pt idx="31">
                  <c:v>61278079759148.898</c:v>
                </c:pt>
                <c:pt idx="32">
                  <c:v>60222371275397.5</c:v>
                </c:pt>
                <c:pt idx="33">
                  <c:v>61837048746299.102</c:v>
                </c:pt>
                <c:pt idx="34">
                  <c:v>59483353696749.297</c:v>
                </c:pt>
                <c:pt idx="35">
                  <c:v>59080607636638.398</c:v>
                </c:pt>
                <c:pt idx="36">
                  <c:v>58534377409231.898</c:v>
                </c:pt>
                <c:pt idx="37">
                  <c:v>58389050233377.703</c:v>
                </c:pt>
                <c:pt idx="38">
                  <c:v>57727222613969.898</c:v>
                </c:pt>
                <c:pt idx="39">
                  <c:v>55813389869299.898</c:v>
                </c:pt>
                <c:pt idx="40">
                  <c:v>55167446026197.703</c:v>
                </c:pt>
                <c:pt idx="41">
                  <c:v>54227147387588.5</c:v>
                </c:pt>
                <c:pt idx="42">
                  <c:v>51861820826098.203</c:v>
                </c:pt>
                <c:pt idx="43">
                  <c:v>51102306539742.203</c:v>
                </c:pt>
                <c:pt idx="44">
                  <c:v>51026963195730.898</c:v>
                </c:pt>
                <c:pt idx="45">
                  <c:v>48457398104576.797</c:v>
                </c:pt>
                <c:pt idx="46">
                  <c:v>47517103072637.898</c:v>
                </c:pt>
                <c:pt idx="47">
                  <c:v>44060423304138.102</c:v>
                </c:pt>
                <c:pt idx="48">
                  <c:v>47383039528346.602</c:v>
                </c:pt>
                <c:pt idx="49">
                  <c:v>43831075135364.297</c:v>
                </c:pt>
                <c:pt idx="50">
                  <c:v>43499975582136.398</c:v>
                </c:pt>
                <c:pt idx="51">
                  <c:v>41867567719700.102</c:v>
                </c:pt>
                <c:pt idx="52">
                  <c:v>42309092699620</c:v>
                </c:pt>
                <c:pt idx="53">
                  <c:v>40003041765646.602</c:v>
                </c:pt>
                <c:pt idx="54">
                  <c:v>41790565307318.898</c:v>
                </c:pt>
                <c:pt idx="55">
                  <c:v>41864058429430.898</c:v>
                </c:pt>
                <c:pt idx="56">
                  <c:v>39332536497330.602</c:v>
                </c:pt>
                <c:pt idx="57">
                  <c:v>40043483360495.703</c:v>
                </c:pt>
                <c:pt idx="58">
                  <c:v>38625650745001.102</c:v>
                </c:pt>
                <c:pt idx="59">
                  <c:v>39876732562648.797</c:v>
                </c:pt>
                <c:pt idx="60">
                  <c:v>36167989815390.398</c:v>
                </c:pt>
                <c:pt idx="61">
                  <c:v>35265734335834.898</c:v>
                </c:pt>
                <c:pt idx="62">
                  <c:v>35765799182516.297</c:v>
                </c:pt>
                <c:pt idx="63">
                  <c:v>34981171650380</c:v>
                </c:pt>
                <c:pt idx="64">
                  <c:v>35587229325869.797</c:v>
                </c:pt>
                <c:pt idx="65">
                  <c:v>35798850709779.203</c:v>
                </c:pt>
                <c:pt idx="66">
                  <c:v>34418137945723.699</c:v>
                </c:pt>
                <c:pt idx="67">
                  <c:v>37179195593456.898</c:v>
                </c:pt>
                <c:pt idx="68">
                  <c:v>38587979072995.398</c:v>
                </c:pt>
                <c:pt idx="69">
                  <c:v>41240641849454.5</c:v>
                </c:pt>
                <c:pt idx="70">
                  <c:v>40565336102877.203</c:v>
                </c:pt>
                <c:pt idx="71">
                  <c:v>38448007802639.398</c:v>
                </c:pt>
                <c:pt idx="72">
                  <c:v>40121776960869</c:v>
                </c:pt>
                <c:pt idx="73">
                  <c:v>43118833477536.703</c:v>
                </c:pt>
                <c:pt idx="74">
                  <c:v>42396622982808.703</c:v>
                </c:pt>
                <c:pt idx="75">
                  <c:v>40437364224839.297</c:v>
                </c:pt>
                <c:pt idx="76">
                  <c:v>37496261592278.5</c:v>
                </c:pt>
                <c:pt idx="77">
                  <c:v>39191082885452.797</c:v>
                </c:pt>
                <c:pt idx="78">
                  <c:v>41303242827051.703</c:v>
                </c:pt>
                <c:pt idx="79">
                  <c:v>43712707820519.5</c:v>
                </c:pt>
                <c:pt idx="80">
                  <c:v>46375710920926.898</c:v>
                </c:pt>
                <c:pt idx="81">
                  <c:v>50548138030853.297</c:v>
                </c:pt>
                <c:pt idx="82">
                  <c:v>59783244731273</c:v>
                </c:pt>
                <c:pt idx="83">
                  <c:v>71966288704603.094</c:v>
                </c:pt>
                <c:pt idx="84">
                  <c:v>93389982830710.297</c:v>
                </c:pt>
                <c:pt idx="85">
                  <c:v>122543045664835</c:v>
                </c:pt>
                <c:pt idx="86">
                  <c:v>159992965149541</c:v>
                </c:pt>
                <c:pt idx="87">
                  <c:v>202093570661802</c:v>
                </c:pt>
                <c:pt idx="88">
                  <c:v>247769598351127</c:v>
                </c:pt>
                <c:pt idx="89">
                  <c:v>289370146230047</c:v>
                </c:pt>
                <c:pt idx="90">
                  <c:v>349004738435386</c:v>
                </c:pt>
                <c:pt idx="91">
                  <c:v>399917766914156</c:v>
                </c:pt>
                <c:pt idx="92">
                  <c:v>444328863171615</c:v>
                </c:pt>
                <c:pt idx="93">
                  <c:v>478188400010566</c:v>
                </c:pt>
                <c:pt idx="94">
                  <c:v>474836793369930</c:v>
                </c:pt>
                <c:pt idx="95">
                  <c:v>464366485021498</c:v>
                </c:pt>
                <c:pt idx="96">
                  <c:v>454987526273405</c:v>
                </c:pt>
                <c:pt idx="97">
                  <c:v>440511909493271</c:v>
                </c:pt>
                <c:pt idx="98">
                  <c:v>420073572138695</c:v>
                </c:pt>
                <c:pt idx="99">
                  <c:v>378286516121645</c:v>
                </c:pt>
                <c:pt idx="100">
                  <c:v>342209194392665</c:v>
                </c:pt>
                <c:pt idx="101">
                  <c:v>297596817075244</c:v>
                </c:pt>
                <c:pt idx="102">
                  <c:v>252027893069202</c:v>
                </c:pt>
                <c:pt idx="103">
                  <c:v>227425438373229</c:v>
                </c:pt>
                <c:pt idx="104">
                  <c:v>192116308579513</c:v>
                </c:pt>
                <c:pt idx="105">
                  <c:v>175606270030917</c:v>
                </c:pt>
                <c:pt idx="106">
                  <c:v>152344457991199</c:v>
                </c:pt>
                <c:pt idx="107">
                  <c:v>126608008424443</c:v>
                </c:pt>
                <c:pt idx="108">
                  <c:v>104097393689209</c:v>
                </c:pt>
                <c:pt idx="109">
                  <c:v>83307644013886.594</c:v>
                </c:pt>
                <c:pt idx="110">
                  <c:v>70135001824671.5</c:v>
                </c:pt>
                <c:pt idx="111">
                  <c:v>57702293308378.398</c:v>
                </c:pt>
                <c:pt idx="112">
                  <c:v>44840434298201.898</c:v>
                </c:pt>
                <c:pt idx="113">
                  <c:v>35130931424117.898</c:v>
                </c:pt>
                <c:pt idx="114">
                  <c:v>25891022442101.602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71-4FC2-B7A4-BAB5EE52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180432"/>
        <c:axId val="665170352"/>
      </c:scatterChart>
      <c:valAx>
        <c:axId val="66518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70352"/>
        <c:crosses val="autoZero"/>
        <c:crossBetween val="midCat"/>
      </c:valAx>
      <c:valAx>
        <c:axId val="665170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8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3</xdr:row>
      <xdr:rowOff>109536</xdr:rowOff>
    </xdr:from>
    <xdr:to>
      <xdr:col>16</xdr:col>
      <xdr:colOff>85725</xdr:colOff>
      <xdr:row>23</xdr:row>
      <xdr:rowOff>171449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3209B32-B1EF-25B3-C5E7-2C4879145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457702</xdr:colOff>
      <xdr:row>28</xdr:row>
      <xdr:rowOff>0</xdr:rowOff>
    </xdr:from>
    <xdr:to>
      <xdr:col>18</xdr:col>
      <xdr:colOff>135044</xdr:colOff>
      <xdr:row>55</xdr:row>
      <xdr:rowOff>20159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99CCD6FF-9C5A-FB4E-25FF-4C6F01984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7227" y="5334000"/>
          <a:ext cx="7887892" cy="5163659"/>
        </a:xfrm>
        <a:prstGeom prst="rect">
          <a:avLst/>
        </a:prstGeom>
      </xdr:spPr>
    </xdr:pic>
    <xdr:clientData/>
  </xdr:twoCellAnchor>
  <xdr:twoCellAnchor>
    <xdr:from>
      <xdr:col>14</xdr:col>
      <xdr:colOff>276225</xdr:colOff>
      <xdr:row>10</xdr:row>
      <xdr:rowOff>42862</xdr:rowOff>
    </xdr:from>
    <xdr:to>
      <xdr:col>21</xdr:col>
      <xdr:colOff>295275</xdr:colOff>
      <xdr:row>24</xdr:row>
      <xdr:rowOff>119062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1D04FC9-95A8-AF80-ADE7-C7FC82101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10</xdr:row>
      <xdr:rowOff>14287</xdr:rowOff>
    </xdr:from>
    <xdr:to>
      <xdr:col>20</xdr:col>
      <xdr:colOff>304800</xdr:colOff>
      <xdr:row>24</xdr:row>
      <xdr:rowOff>90487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38567D0-3375-B85A-D14B-826EEEBF7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C191-5B2C-4422-BD70-B79B60D0F57E}">
  <dimension ref="A1:R117"/>
  <sheetViews>
    <sheetView tabSelected="1" workbookViewId="0">
      <selection activeCell="Q8" sqref="Q8"/>
    </sheetView>
  </sheetViews>
  <sheetFormatPr defaultRowHeight="15" x14ac:dyDescent="0.25"/>
  <cols>
    <col min="2" max="2" width="15.85546875" customWidth="1"/>
    <col min="3" max="3" width="18.42578125" bestFit="1" customWidth="1"/>
    <col min="4" max="4" width="44.7109375" customWidth="1"/>
    <col min="5" max="5" width="26.28515625" style="1" bestFit="1" customWidth="1"/>
    <col min="17" max="18" width="11.28515625" bestFit="1" customWidth="1"/>
  </cols>
  <sheetData>
    <row r="1" spans="1:18" x14ac:dyDescent="0.25">
      <c r="A1" t="s">
        <v>1</v>
      </c>
      <c r="B1" t="s">
        <v>6</v>
      </c>
      <c r="C1" t="s">
        <v>10</v>
      </c>
      <c r="E1" s="1" t="s">
        <v>0</v>
      </c>
      <c r="H1" t="s">
        <v>8</v>
      </c>
      <c r="L1" t="s">
        <v>2</v>
      </c>
      <c r="Q1" s="2">
        <v>0.62813657407407408</v>
      </c>
      <c r="R1" s="3">
        <f>86400*Q1</f>
        <v>54271</v>
      </c>
    </row>
    <row r="2" spans="1:18" x14ac:dyDescent="0.25">
      <c r="A2">
        <v>12</v>
      </c>
      <c r="B2">
        <v>54409.5</v>
      </c>
      <c r="C2" s="4">
        <f>B2/$R$3*$H$6</f>
        <v>34.824625231908435</v>
      </c>
      <c r="E2" s="1">
        <f>B2*346.9*346.9/$H$2*$H$6</f>
        <v>100475177.03935775</v>
      </c>
      <c r="H2">
        <v>65.540000000000006</v>
      </c>
      <c r="L2" t="s">
        <v>3</v>
      </c>
      <c r="Q2" s="2">
        <v>0.64633101851851849</v>
      </c>
      <c r="R2" s="3">
        <f>86400*Q2</f>
        <v>55843</v>
      </c>
    </row>
    <row r="3" spans="1:18" x14ac:dyDescent="0.25">
      <c r="A3">
        <v>12.2</v>
      </c>
      <c r="B3">
        <v>53100.1</v>
      </c>
      <c r="C3" s="4">
        <f t="shared" ref="C3:C66" si="0">B3/$R$3*$H$6</f>
        <v>33.986547979247391</v>
      </c>
      <c r="E3" s="1">
        <f t="shared" ref="E3:E66" si="1">B3*346.9*346.9/$H$2*$H$6</f>
        <v>98057176.564894021</v>
      </c>
      <c r="H3" t="s">
        <v>9</v>
      </c>
      <c r="L3" t="s">
        <v>4</v>
      </c>
      <c r="Q3" s="2" t="s">
        <v>7</v>
      </c>
      <c r="R3">
        <f>R2-R1-4.29+3.63</f>
        <v>1571.3400000000001</v>
      </c>
    </row>
    <row r="4" spans="1:18" x14ac:dyDescent="0.25">
      <c r="A4">
        <v>12.4</v>
      </c>
      <c r="B4">
        <v>52985.2</v>
      </c>
      <c r="C4" s="4">
        <f t="shared" si="0"/>
        <v>33.913006604319371</v>
      </c>
      <c r="E4" s="1">
        <f t="shared" si="1"/>
        <v>97844996.746262684</v>
      </c>
      <c r="H4">
        <f>H2/R3</f>
        <v>4.1709623633332062E-2</v>
      </c>
      <c r="L4" t="s">
        <v>5</v>
      </c>
      <c r="R4">
        <f>R3/60</f>
        <v>26.189000000000004</v>
      </c>
    </row>
    <row r="5" spans="1:18" x14ac:dyDescent="0.25">
      <c r="A5">
        <v>12.6</v>
      </c>
      <c r="B5">
        <v>50635</v>
      </c>
      <c r="C5" s="4">
        <f t="shared" si="0"/>
        <v>32.408768663885596</v>
      </c>
      <c r="E5" s="1">
        <f t="shared" si="1"/>
        <v>93505005.364649206</v>
      </c>
      <c r="H5" t="s">
        <v>17</v>
      </c>
    </row>
    <row r="6" spans="1:18" x14ac:dyDescent="0.25">
      <c r="A6">
        <v>12.8</v>
      </c>
      <c r="B6">
        <v>50128.9</v>
      </c>
      <c r="C6" s="4">
        <f t="shared" si="0"/>
        <v>32.084840988941544</v>
      </c>
      <c r="E6" s="1">
        <f t="shared" si="1"/>
        <v>92570416.97292316</v>
      </c>
      <c r="H6">
        <f>1.00553*1.0002</f>
        <v>1.005731106</v>
      </c>
    </row>
    <row r="7" spans="1:18" x14ac:dyDescent="0.25">
      <c r="A7">
        <v>13</v>
      </c>
      <c r="B7">
        <v>49843.9</v>
      </c>
      <c r="C7" s="4">
        <f t="shared" si="0"/>
        <v>31.902427656874639</v>
      </c>
      <c r="E7" s="1">
        <f t="shared" si="1"/>
        <v>92044122.383628696</v>
      </c>
    </row>
    <row r="8" spans="1:18" x14ac:dyDescent="0.25">
      <c r="A8">
        <v>13.2</v>
      </c>
      <c r="B8">
        <v>48538.2</v>
      </c>
      <c r="C8" s="4">
        <f t="shared" si="0"/>
        <v>31.066718577296573</v>
      </c>
      <c r="E8" s="1">
        <f t="shared" si="1"/>
        <v>89632954.505587369</v>
      </c>
    </row>
    <row r="9" spans="1:18" x14ac:dyDescent="0.25">
      <c r="A9">
        <v>13.4</v>
      </c>
      <c r="B9">
        <v>48578.2</v>
      </c>
      <c r="C9" s="4">
        <f t="shared" si="0"/>
        <v>31.092320448463855</v>
      </c>
      <c r="E9" s="1">
        <f t="shared" si="1"/>
        <v>89706820.412856758</v>
      </c>
    </row>
    <row r="10" spans="1:18" x14ac:dyDescent="0.25">
      <c r="A10">
        <v>13.6</v>
      </c>
      <c r="B10">
        <v>47488.7</v>
      </c>
      <c r="C10" s="4">
        <f t="shared" si="0"/>
        <v>30.394989482544961</v>
      </c>
      <c r="E10" s="1">
        <f t="shared" si="1"/>
        <v>87694897.763606519</v>
      </c>
    </row>
    <row r="11" spans="1:18" x14ac:dyDescent="0.25">
      <c r="A11">
        <v>13.8</v>
      </c>
      <c r="B11">
        <v>46707.4</v>
      </c>
      <c r="C11" s="4">
        <f t="shared" si="0"/>
        <v>29.894920933969988</v>
      </c>
      <c r="E11" s="1">
        <f t="shared" si="1"/>
        <v>86252111.929867014</v>
      </c>
    </row>
    <row r="12" spans="1:18" x14ac:dyDescent="0.25">
      <c r="A12">
        <v>14</v>
      </c>
      <c r="B12">
        <v>46344.5</v>
      </c>
      <c r="C12" s="4">
        <f t="shared" si="0"/>
        <v>29.662647957804801</v>
      </c>
      <c r="E12" s="1">
        <f t="shared" si="1"/>
        <v>85581963.486165404</v>
      </c>
    </row>
    <row r="13" spans="1:18" x14ac:dyDescent="0.25">
      <c r="A13">
        <v>14.2</v>
      </c>
      <c r="B13">
        <v>46022.3</v>
      </c>
      <c r="C13" s="4">
        <f t="shared" si="0"/>
        <v>29.456424885552334</v>
      </c>
      <c r="E13" s="1">
        <f t="shared" si="1"/>
        <v>84986973.603110403</v>
      </c>
    </row>
    <row r="14" spans="1:18" x14ac:dyDescent="0.25">
      <c r="A14">
        <v>14.4</v>
      </c>
      <c r="B14">
        <v>45167.3</v>
      </c>
      <c r="C14" s="4">
        <f t="shared" si="0"/>
        <v>28.909184889351636</v>
      </c>
      <c r="E14" s="1">
        <f t="shared" si="1"/>
        <v>83408089.835227013</v>
      </c>
    </row>
    <row r="15" spans="1:18" x14ac:dyDescent="0.25">
      <c r="A15">
        <v>14.6</v>
      </c>
      <c r="B15">
        <v>44713</v>
      </c>
      <c r="C15" s="4">
        <f t="shared" si="0"/>
        <v>28.618411637569206</v>
      </c>
      <c r="E15" s="1">
        <f t="shared" si="1"/>
        <v>82569157.793414831</v>
      </c>
    </row>
    <row r="16" spans="1:18" x14ac:dyDescent="0.25">
      <c r="A16">
        <v>14.8</v>
      </c>
      <c r="B16">
        <v>45099.7</v>
      </c>
      <c r="C16" s="4">
        <f t="shared" si="0"/>
        <v>28.865917727078923</v>
      </c>
      <c r="E16" s="1">
        <f t="shared" si="1"/>
        <v>83283256.451941729</v>
      </c>
    </row>
    <row r="17" spans="1:5" x14ac:dyDescent="0.25">
      <c r="A17">
        <v>15</v>
      </c>
      <c r="B17">
        <v>44404.3</v>
      </c>
      <c r="C17" s="4">
        <f t="shared" si="0"/>
        <v>28.420829196835694</v>
      </c>
      <c r="E17" s="1">
        <f t="shared" si="1"/>
        <v>81999097.654063269</v>
      </c>
    </row>
    <row r="18" spans="1:5" x14ac:dyDescent="0.25">
      <c r="A18">
        <v>15.2</v>
      </c>
      <c r="B18">
        <v>41994</v>
      </c>
      <c r="C18" s="4">
        <f t="shared" si="0"/>
        <v>26.878124444973079</v>
      </c>
      <c r="E18" s="1">
        <f t="shared" si="1"/>
        <v>77548122.74677749</v>
      </c>
    </row>
    <row r="19" spans="1:5" x14ac:dyDescent="0.25">
      <c r="A19">
        <v>15.4</v>
      </c>
      <c r="B19">
        <v>42018.2</v>
      </c>
      <c r="C19" s="4">
        <f t="shared" si="0"/>
        <v>26.893613577029285</v>
      </c>
      <c r="E19" s="1">
        <f t="shared" si="1"/>
        <v>77592811.620675489</v>
      </c>
    </row>
    <row r="20" spans="1:5" x14ac:dyDescent="0.25">
      <c r="A20">
        <v>15.6</v>
      </c>
      <c r="B20">
        <v>40984.800000000003</v>
      </c>
      <c r="C20" s="4">
        <f t="shared" si="0"/>
        <v>26.232189235422506</v>
      </c>
      <c r="E20" s="1">
        <f t="shared" si="1"/>
        <v>75684485.906370595</v>
      </c>
    </row>
    <row r="21" spans="1:5" x14ac:dyDescent="0.25">
      <c r="A21">
        <v>15.8</v>
      </c>
      <c r="B21">
        <v>40363.4</v>
      </c>
      <c r="C21" s="4">
        <f t="shared" si="0"/>
        <v>25.83446416683875</v>
      </c>
      <c r="E21" s="1">
        <f t="shared" si="1"/>
        <v>74536979.036940485</v>
      </c>
    </row>
    <row r="22" spans="1:5" x14ac:dyDescent="0.25">
      <c r="A22">
        <v>16</v>
      </c>
      <c r="B22">
        <v>40409.199999999997</v>
      </c>
      <c r="C22" s="4">
        <f t="shared" si="0"/>
        <v>25.863778309325284</v>
      </c>
      <c r="E22" s="1">
        <f t="shared" si="1"/>
        <v>74621555.500763953</v>
      </c>
    </row>
    <row r="23" spans="1:5" x14ac:dyDescent="0.25">
      <c r="A23">
        <v>16.2</v>
      </c>
      <c r="B23">
        <v>39280.199999999997</v>
      </c>
      <c r="C23" s="4">
        <f t="shared" si="0"/>
        <v>25.141165495628698</v>
      </c>
      <c r="E23" s="1">
        <f t="shared" si="1"/>
        <v>72536690.268085182</v>
      </c>
    </row>
    <row r="24" spans="1:5" x14ac:dyDescent="0.25">
      <c r="A24">
        <v>16.399999999999999</v>
      </c>
      <c r="B24">
        <v>39950</v>
      </c>
      <c r="C24" s="4">
        <f t="shared" si="0"/>
        <v>25.569868828324868</v>
      </c>
      <c r="E24" s="1">
        <f t="shared" si="1"/>
        <v>73773574.885311276</v>
      </c>
    </row>
    <row r="25" spans="1:5" x14ac:dyDescent="0.25">
      <c r="A25">
        <v>16.600000000000001</v>
      </c>
      <c r="B25">
        <v>38126.199999999997</v>
      </c>
      <c r="C25" s="4">
        <f t="shared" si="0"/>
        <v>24.402551512452554</v>
      </c>
      <c r="E25" s="1">
        <f t="shared" si="1"/>
        <v>70405658.843363047</v>
      </c>
    </row>
    <row r="26" spans="1:5" x14ac:dyDescent="0.25">
      <c r="A26">
        <v>16.8</v>
      </c>
      <c r="B26">
        <v>38107.9</v>
      </c>
      <c r="C26" s="4">
        <f t="shared" si="0"/>
        <v>24.390838656393523</v>
      </c>
      <c r="E26" s="1">
        <f t="shared" si="1"/>
        <v>70371865.190787315</v>
      </c>
    </row>
    <row r="27" spans="1:5" x14ac:dyDescent="0.25">
      <c r="A27">
        <v>17</v>
      </c>
      <c r="B27">
        <v>36985.9</v>
      </c>
      <c r="C27" s="4">
        <f t="shared" si="0"/>
        <v>23.672706170151208</v>
      </c>
      <c r="E27" s="1">
        <f t="shared" si="1"/>
        <v>68299926.4918807</v>
      </c>
    </row>
    <row r="28" spans="1:5" x14ac:dyDescent="0.25">
      <c r="A28">
        <v>17.2</v>
      </c>
      <c r="B28">
        <v>36084</v>
      </c>
      <c r="C28" s="4">
        <f t="shared" si="0"/>
        <v>23.095447980006874</v>
      </c>
      <c r="E28" s="1">
        <f t="shared" si="1"/>
        <v>66634434.947723947</v>
      </c>
    </row>
    <row r="29" spans="1:5" x14ac:dyDescent="0.25">
      <c r="A29">
        <v>17.399999999999999</v>
      </c>
      <c r="B29">
        <v>35929.9</v>
      </c>
      <c r="C29" s="4">
        <f t="shared" si="0"/>
        <v>22.99681677133491</v>
      </c>
      <c r="E29" s="1">
        <f t="shared" si="1"/>
        <v>66349866.539968595</v>
      </c>
    </row>
    <row r="30" spans="1:5" x14ac:dyDescent="0.25">
      <c r="A30">
        <v>17.600000000000001</v>
      </c>
      <c r="B30">
        <v>36212.1</v>
      </c>
      <c r="C30" s="4">
        <f t="shared" si="0"/>
        <v>23.177437972420098</v>
      </c>
      <c r="E30" s="1">
        <f t="shared" si="1"/>
        <v>66870990.515754186</v>
      </c>
    </row>
    <row r="31" spans="1:5" x14ac:dyDescent="0.25">
      <c r="A31">
        <v>17.8</v>
      </c>
      <c r="B31">
        <v>34333.1</v>
      </c>
      <c r="C31" s="4">
        <f t="shared" si="0"/>
        <v>21.974790074336934</v>
      </c>
      <c r="E31" s="1">
        <f t="shared" si="1"/>
        <v>63401139.521774217</v>
      </c>
    </row>
    <row r="32" spans="1:5" x14ac:dyDescent="0.25">
      <c r="A32">
        <v>18</v>
      </c>
      <c r="B32">
        <v>35123.5</v>
      </c>
      <c r="C32" s="4">
        <f t="shared" si="0"/>
        <v>22.480683048602465</v>
      </c>
      <c r="E32" s="1">
        <f t="shared" si="1"/>
        <v>64860729.849417515</v>
      </c>
    </row>
    <row r="33" spans="1:5" x14ac:dyDescent="0.25">
      <c r="A33">
        <v>18.2</v>
      </c>
      <c r="B33">
        <v>33184</v>
      </c>
      <c r="C33" s="4">
        <f t="shared" si="0"/>
        <v>21.239312320378783</v>
      </c>
      <c r="E33" s="1">
        <f t="shared" si="1"/>
        <v>61279156.670692593</v>
      </c>
    </row>
    <row r="34" spans="1:5" x14ac:dyDescent="0.25">
      <c r="A34">
        <v>18.399999999999999</v>
      </c>
      <c r="B34">
        <v>32612.3</v>
      </c>
      <c r="C34" s="4">
        <f t="shared" si="0"/>
        <v>20.873397576720379</v>
      </c>
      <c r="E34" s="1">
        <f t="shared" si="1"/>
        <v>60223428.191044718</v>
      </c>
    </row>
    <row r="35" spans="1:5" x14ac:dyDescent="0.25">
      <c r="A35">
        <v>18.600000000000001</v>
      </c>
      <c r="B35">
        <v>33486.699999999997</v>
      </c>
      <c r="C35" s="4">
        <f t="shared" si="0"/>
        <v>21.433054480437203</v>
      </c>
      <c r="E35" s="1">
        <f t="shared" si="1"/>
        <v>61838136.923953757</v>
      </c>
    </row>
    <row r="36" spans="1:5" x14ac:dyDescent="0.25">
      <c r="A36">
        <v>18.8</v>
      </c>
      <c r="B36">
        <v>32212.1</v>
      </c>
      <c r="C36" s="4">
        <f t="shared" si="0"/>
        <v>20.617250855691701</v>
      </c>
      <c r="E36" s="1">
        <f t="shared" si="1"/>
        <v>59484399.788814388</v>
      </c>
    </row>
    <row r="37" spans="1:5" x14ac:dyDescent="0.25">
      <c r="A37">
        <v>19</v>
      </c>
      <c r="B37">
        <v>31994</v>
      </c>
      <c r="C37" s="4">
        <f t="shared" si="0"/>
        <v>20.477656653152085</v>
      </c>
      <c r="E37" s="1">
        <f t="shared" si="1"/>
        <v>59081645.929427996</v>
      </c>
    </row>
    <row r="38" spans="1:5" x14ac:dyDescent="0.25">
      <c r="A38">
        <v>19.2</v>
      </c>
      <c r="B38">
        <v>31698.2</v>
      </c>
      <c r="C38" s="4">
        <f t="shared" si="0"/>
        <v>20.288330815870022</v>
      </c>
      <c r="E38" s="1">
        <f t="shared" si="1"/>
        <v>58535407.545170799</v>
      </c>
    </row>
    <row r="39" spans="1:5" x14ac:dyDescent="0.25">
      <c r="A39">
        <v>19.399999999999999</v>
      </c>
      <c r="B39">
        <v>31619.5</v>
      </c>
      <c r="C39" s="4">
        <f t="shared" si="0"/>
        <v>20.23795913434839</v>
      </c>
      <c r="E39" s="1">
        <f t="shared" si="1"/>
        <v>58390076.372618258</v>
      </c>
    </row>
    <row r="40" spans="1:5" x14ac:dyDescent="0.25">
      <c r="A40">
        <v>19.600000000000001</v>
      </c>
      <c r="B40">
        <v>31261.1</v>
      </c>
      <c r="C40" s="4">
        <f t="shared" si="0"/>
        <v>20.008566368689525</v>
      </c>
      <c r="E40" s="1">
        <f t="shared" si="1"/>
        <v>57728237.843484446</v>
      </c>
    </row>
    <row r="41" spans="1:5" x14ac:dyDescent="0.25">
      <c r="A41">
        <v>19.8</v>
      </c>
      <c r="B41">
        <v>30224.7</v>
      </c>
      <c r="C41" s="4">
        <f t="shared" si="0"/>
        <v>19.345221886745197</v>
      </c>
      <c r="E41" s="1">
        <f t="shared" si="1"/>
        <v>55814372.186134353</v>
      </c>
    </row>
    <row r="42" spans="1:5" x14ac:dyDescent="0.25">
      <c r="A42">
        <v>20</v>
      </c>
      <c r="B42">
        <v>29874.9</v>
      </c>
      <c r="C42" s="4">
        <f t="shared" si="0"/>
        <v>19.1213335233873</v>
      </c>
      <c r="E42" s="1">
        <f t="shared" si="1"/>
        <v>55168414.827063471</v>
      </c>
    </row>
    <row r="43" spans="1:5" x14ac:dyDescent="0.25">
      <c r="A43">
        <v>20.2</v>
      </c>
      <c r="B43">
        <v>29365.7</v>
      </c>
      <c r="C43" s="4">
        <f t="shared" si="0"/>
        <v>18.795421703427774</v>
      </c>
      <c r="E43" s="1">
        <f t="shared" si="1"/>
        <v>54228101.827524036</v>
      </c>
    </row>
    <row r="44" spans="1:5" x14ac:dyDescent="0.25">
      <c r="A44">
        <v>20.399999999999999</v>
      </c>
      <c r="B44">
        <v>28084.799999999999</v>
      </c>
      <c r="C44" s="4">
        <f t="shared" si="0"/>
        <v>17.975585783973422</v>
      </c>
      <c r="E44" s="1">
        <f t="shared" si="1"/>
        <v>51862730.811989725</v>
      </c>
    </row>
    <row r="45" spans="1:5" x14ac:dyDescent="0.25">
      <c r="A45">
        <v>20.6</v>
      </c>
      <c r="B45">
        <v>27673.5</v>
      </c>
      <c r="C45" s="4">
        <f t="shared" si="0"/>
        <v>17.712334543695825</v>
      </c>
      <c r="E45" s="1">
        <f t="shared" si="1"/>
        <v>51103204.620492138</v>
      </c>
    </row>
    <row r="46" spans="1:5" x14ac:dyDescent="0.25">
      <c r="A46">
        <v>20.8</v>
      </c>
      <c r="B46">
        <v>27632.7</v>
      </c>
      <c r="C46" s="4">
        <f t="shared" si="0"/>
        <v>17.686220635105197</v>
      </c>
      <c r="E46" s="1">
        <f t="shared" si="1"/>
        <v>51027861.395077355</v>
      </c>
    </row>
    <row r="47" spans="1:5" x14ac:dyDescent="0.25">
      <c r="A47">
        <v>21</v>
      </c>
      <c r="B47">
        <v>26241.200000000001</v>
      </c>
      <c r="C47" s="4">
        <f t="shared" si="0"/>
        <v>16.795595541873304</v>
      </c>
      <c r="E47" s="1">
        <f t="shared" si="1"/>
        <v>48458251.145943172</v>
      </c>
    </row>
    <row r="48" spans="1:5" x14ac:dyDescent="0.25">
      <c r="A48">
        <v>21.2</v>
      </c>
      <c r="B48">
        <v>25732</v>
      </c>
      <c r="C48" s="4">
        <f t="shared" si="0"/>
        <v>16.469683721913778</v>
      </c>
      <c r="E48" s="1">
        <f t="shared" si="1"/>
        <v>47517938.146403737</v>
      </c>
    </row>
    <row r="49" spans="1:5" x14ac:dyDescent="0.25">
      <c r="A49">
        <v>21.4</v>
      </c>
      <c r="B49">
        <v>23860.1</v>
      </c>
      <c r="C49" s="4">
        <f t="shared" si="0"/>
        <v>15.271580155962807</v>
      </c>
      <c r="E49" s="1">
        <f t="shared" si="1"/>
        <v>44061198.350964084</v>
      </c>
    </row>
    <row r="50" spans="1:5" x14ac:dyDescent="0.25">
      <c r="A50">
        <v>21.6</v>
      </c>
      <c r="B50">
        <v>25659.4</v>
      </c>
      <c r="C50" s="4">
        <f t="shared" si="0"/>
        <v>16.423216325745159</v>
      </c>
      <c r="E50" s="1">
        <f t="shared" si="1"/>
        <v>47383871.524709783</v>
      </c>
    </row>
    <row r="51" spans="1:5" x14ac:dyDescent="0.25">
      <c r="A51">
        <v>21.8</v>
      </c>
      <c r="B51">
        <v>23735.9</v>
      </c>
      <c r="C51" s="4">
        <f t="shared" si="0"/>
        <v>15.192086345988393</v>
      </c>
      <c r="E51" s="1">
        <f t="shared" si="1"/>
        <v>43831844.708892599</v>
      </c>
    </row>
    <row r="52" spans="1:5" x14ac:dyDescent="0.25">
      <c r="A52">
        <v>22</v>
      </c>
      <c r="B52">
        <v>23556.6</v>
      </c>
      <c r="C52" s="4">
        <f t="shared" si="0"/>
        <v>15.07732595848104</v>
      </c>
      <c r="E52" s="1">
        <f t="shared" si="1"/>
        <v>43500740.779557526</v>
      </c>
    </row>
    <row r="53" spans="1:5" x14ac:dyDescent="0.25">
      <c r="A53">
        <v>22.2</v>
      </c>
      <c r="B53">
        <v>22672.6</v>
      </c>
      <c r="C53" s="4">
        <f t="shared" si="0"/>
        <v>14.511524605684064</v>
      </c>
      <c r="E53" s="1">
        <f t="shared" si="1"/>
        <v>41868304.228903823</v>
      </c>
    </row>
    <row r="54" spans="1:5" x14ac:dyDescent="0.25">
      <c r="A54">
        <v>22.4</v>
      </c>
      <c r="B54">
        <v>22911.7</v>
      </c>
      <c r="C54" s="4">
        <f t="shared" si="0"/>
        <v>14.664559790586505</v>
      </c>
      <c r="E54" s="1">
        <f t="shared" si="1"/>
        <v>42309837.689606659</v>
      </c>
    </row>
    <row r="55" spans="1:5" x14ac:dyDescent="0.25">
      <c r="A55">
        <v>22.6</v>
      </c>
      <c r="B55">
        <v>21662.9</v>
      </c>
      <c r="C55" s="4">
        <f t="shared" si="0"/>
        <v>13.865269372743901</v>
      </c>
      <c r="E55" s="1">
        <f t="shared" si="1"/>
        <v>40003744.064656056</v>
      </c>
    </row>
    <row r="56" spans="1:5" x14ac:dyDescent="0.25">
      <c r="A56">
        <v>22.8</v>
      </c>
      <c r="B56">
        <v>22630.9</v>
      </c>
      <c r="C56" s="4">
        <f t="shared" si="0"/>
        <v>14.484834654992172</v>
      </c>
      <c r="E56" s="1">
        <f t="shared" si="1"/>
        <v>41791299.020575486</v>
      </c>
    </row>
    <row r="57" spans="1:5" x14ac:dyDescent="0.25">
      <c r="A57">
        <v>23</v>
      </c>
      <c r="B57">
        <v>22670.7</v>
      </c>
      <c r="C57" s="4">
        <f t="shared" si="0"/>
        <v>14.510308516803621</v>
      </c>
      <c r="E57" s="1">
        <f t="shared" si="1"/>
        <v>41864795.598308541</v>
      </c>
    </row>
    <row r="58" spans="1:5" x14ac:dyDescent="0.25">
      <c r="A58">
        <v>23.2</v>
      </c>
      <c r="B58">
        <v>21299.8</v>
      </c>
      <c r="C58" s="4">
        <f t="shared" si="0"/>
        <v>13.632868387222878</v>
      </c>
      <c r="E58" s="1">
        <f t="shared" si="1"/>
        <v>39333226.29141809</v>
      </c>
    </row>
    <row r="59" spans="1:5" x14ac:dyDescent="0.25">
      <c r="A59">
        <v>23.4</v>
      </c>
      <c r="B59">
        <v>21684.799999999999</v>
      </c>
      <c r="C59" s="4">
        <f t="shared" si="0"/>
        <v>13.879286397207986</v>
      </c>
      <c r="E59" s="1">
        <f t="shared" si="1"/>
        <v>40044185.64888604</v>
      </c>
    </row>
    <row r="60" spans="1:5" x14ac:dyDescent="0.25">
      <c r="A60">
        <v>23.6</v>
      </c>
      <c r="B60">
        <v>20917</v>
      </c>
      <c r="C60" s="4">
        <f t="shared" si="0"/>
        <v>13.387858480151971</v>
      </c>
      <c r="E60" s="1">
        <f t="shared" si="1"/>
        <v>38626329.558849961</v>
      </c>
    </row>
    <row r="61" spans="1:5" x14ac:dyDescent="0.25">
      <c r="A61">
        <v>23.8</v>
      </c>
      <c r="B61">
        <v>21594.5</v>
      </c>
      <c r="C61" s="4">
        <f t="shared" si="0"/>
        <v>13.821490173047843</v>
      </c>
      <c r="E61" s="1">
        <f t="shared" si="1"/>
        <v>39877433.363225386</v>
      </c>
    </row>
    <row r="62" spans="1:5" x14ac:dyDescent="0.25">
      <c r="A62">
        <v>24</v>
      </c>
      <c r="B62">
        <v>19586.099999999999</v>
      </c>
      <c r="C62" s="4">
        <f t="shared" si="0"/>
        <v>12.536020221738514</v>
      </c>
      <c r="E62" s="1">
        <f t="shared" si="1"/>
        <v>36168626.159228906</v>
      </c>
    </row>
    <row r="63" spans="1:5" x14ac:dyDescent="0.25">
      <c r="A63">
        <v>24.2</v>
      </c>
      <c r="B63">
        <v>19097.5</v>
      </c>
      <c r="C63" s="4">
        <f t="shared" si="0"/>
        <v>12.223293365430141</v>
      </c>
      <c r="E63" s="1">
        <f t="shared" si="1"/>
        <v>35266354.101933219</v>
      </c>
    </row>
    <row r="64" spans="1:5" x14ac:dyDescent="0.25">
      <c r="A64">
        <v>24.4</v>
      </c>
      <c r="B64">
        <v>19368.3</v>
      </c>
      <c r="C64" s="4">
        <f t="shared" si="0"/>
        <v>12.396618033232654</v>
      </c>
      <c r="E64" s="1">
        <f t="shared" si="1"/>
        <v>35766426.294147044</v>
      </c>
    </row>
    <row r="65" spans="1:5" x14ac:dyDescent="0.25">
      <c r="A65">
        <v>24.6</v>
      </c>
      <c r="B65">
        <v>18943.400000000001</v>
      </c>
      <c r="C65" s="4">
        <f t="shared" si="0"/>
        <v>12.12466215675818</v>
      </c>
      <c r="E65" s="1">
        <f t="shared" si="1"/>
        <v>34981785.694177859</v>
      </c>
    </row>
    <row r="66" spans="1:5" x14ac:dyDescent="0.25">
      <c r="A66">
        <v>24.8</v>
      </c>
      <c r="B66">
        <v>19271.599999999999</v>
      </c>
      <c r="C66" s="4">
        <f t="shared" si="0"/>
        <v>12.334725509685743</v>
      </c>
      <c r="E66" s="1">
        <f t="shared" si="1"/>
        <v>35587855.463323265</v>
      </c>
    </row>
    <row r="67" spans="1:5" x14ac:dyDescent="0.25">
      <c r="A67">
        <v>25</v>
      </c>
      <c r="B67">
        <v>19386.2</v>
      </c>
      <c r="C67" s="4">
        <f t="shared" ref="C67:C116" si="2">B67/$R$3*$H$6</f>
        <v>12.408074870580014</v>
      </c>
      <c r="E67" s="1">
        <f t="shared" ref="E67:E116" si="3">B67*346.9*346.9/$H$2*$H$6</f>
        <v>35799481.287650101</v>
      </c>
    </row>
    <row r="68" spans="1:5" x14ac:dyDescent="0.25">
      <c r="A68">
        <v>25.2</v>
      </c>
      <c r="B68">
        <v>18638.5</v>
      </c>
      <c r="C68" s="4">
        <f t="shared" si="2"/>
        <v>11.929511893785559</v>
      </c>
      <c r="E68" s="1">
        <f t="shared" si="3"/>
        <v>34418742.816016868</v>
      </c>
    </row>
    <row r="69" spans="1:5" x14ac:dyDescent="0.25">
      <c r="A69">
        <v>25.4</v>
      </c>
      <c r="B69">
        <v>20133.7</v>
      </c>
      <c r="C69" s="4">
        <f t="shared" si="2"/>
        <v>12.886509838018634</v>
      </c>
      <c r="E69" s="1">
        <f t="shared" si="3"/>
        <v>37179850.429746963</v>
      </c>
    </row>
    <row r="70" spans="1:5" x14ac:dyDescent="0.25">
      <c r="A70">
        <v>25.6</v>
      </c>
      <c r="B70">
        <v>20896.599999999999</v>
      </c>
      <c r="C70" s="4">
        <f t="shared" si="2"/>
        <v>13.374801525856656</v>
      </c>
      <c r="E70" s="1">
        <f t="shared" si="3"/>
        <v>38588657.946142562</v>
      </c>
    </row>
    <row r="71" spans="1:5" x14ac:dyDescent="0.25">
      <c r="A71">
        <v>25.8</v>
      </c>
      <c r="B71">
        <v>22333.1</v>
      </c>
      <c r="C71" s="4">
        <f t="shared" si="2"/>
        <v>14.294228724151742</v>
      </c>
      <c r="E71" s="1">
        <f t="shared" si="3"/>
        <v>41241367.340954818</v>
      </c>
    </row>
    <row r="72" spans="1:5" x14ac:dyDescent="0.25">
      <c r="A72">
        <v>26</v>
      </c>
      <c r="B72">
        <v>21967.4</v>
      </c>
      <c r="C72" s="4">
        <f t="shared" si="2"/>
        <v>14.060163617004848</v>
      </c>
      <c r="E72" s="1">
        <f t="shared" si="3"/>
        <v>40566048.283744343</v>
      </c>
    </row>
    <row r="73" spans="1:5" x14ac:dyDescent="0.25">
      <c r="A73">
        <v>26.2</v>
      </c>
      <c r="B73">
        <v>20820.8</v>
      </c>
      <c r="C73" s="4">
        <f t="shared" si="2"/>
        <v>13.326285979994653</v>
      </c>
      <c r="E73" s="1">
        <f t="shared" si="3"/>
        <v>38448682.051867053</v>
      </c>
    </row>
    <row r="74" spans="1:5" x14ac:dyDescent="0.25">
      <c r="A74">
        <v>26.4</v>
      </c>
      <c r="B74">
        <v>21727.200000000001</v>
      </c>
      <c r="C74" s="4">
        <f t="shared" si="2"/>
        <v>13.906424380645309</v>
      </c>
      <c r="E74" s="1">
        <f t="shared" si="3"/>
        <v>40122483.510591611</v>
      </c>
    </row>
    <row r="75" spans="1:5" x14ac:dyDescent="0.25">
      <c r="A75">
        <v>26.6</v>
      </c>
      <c r="B75">
        <v>23350.2</v>
      </c>
      <c r="C75" s="4">
        <f t="shared" si="2"/>
        <v>14.945220303257855</v>
      </c>
      <c r="E75" s="1">
        <f t="shared" si="3"/>
        <v>43119592.698047444</v>
      </c>
    </row>
    <row r="76" spans="1:5" x14ac:dyDescent="0.25">
      <c r="A76">
        <v>26.8</v>
      </c>
      <c r="B76">
        <v>22959.1</v>
      </c>
      <c r="C76" s="4">
        <f t="shared" si="2"/>
        <v>14.694898007919734</v>
      </c>
      <c r="E76" s="1">
        <f t="shared" si="3"/>
        <v>42397368.7897209</v>
      </c>
    </row>
    <row r="77" spans="1:5" x14ac:dyDescent="0.25">
      <c r="A77">
        <v>27</v>
      </c>
      <c r="B77">
        <v>21898.1</v>
      </c>
      <c r="C77" s="4">
        <f t="shared" si="2"/>
        <v>14.015808375207529</v>
      </c>
      <c r="E77" s="1">
        <f t="shared" si="3"/>
        <v>40438075.599400111</v>
      </c>
    </row>
    <row r="78" spans="1:5" x14ac:dyDescent="0.25">
      <c r="A78">
        <v>27.2</v>
      </c>
      <c r="B78">
        <v>20305.400000000001</v>
      </c>
      <c r="C78" s="4">
        <f t="shared" si="2"/>
        <v>12.996405870004201</v>
      </c>
      <c r="E78" s="1">
        <f t="shared" si="3"/>
        <v>37496919.836700857</v>
      </c>
    </row>
    <row r="79" spans="1:5" x14ac:dyDescent="0.25">
      <c r="A79">
        <v>27.4</v>
      </c>
      <c r="B79">
        <v>21223.200000000001</v>
      </c>
      <c r="C79" s="4">
        <f t="shared" si="2"/>
        <v>13.58384080393753</v>
      </c>
      <c r="E79" s="1">
        <f t="shared" si="3"/>
        <v>39191773.078997195</v>
      </c>
    </row>
    <row r="80" spans="1:5" x14ac:dyDescent="0.25">
      <c r="A80">
        <v>27.6</v>
      </c>
      <c r="B80">
        <v>22367</v>
      </c>
      <c r="C80" s="4">
        <f t="shared" si="2"/>
        <v>14.315926309966015</v>
      </c>
      <c r="E80" s="1">
        <f t="shared" si="3"/>
        <v>41303968.697365642</v>
      </c>
    </row>
    <row r="81" spans="1:5" x14ac:dyDescent="0.25">
      <c r="A81">
        <v>27.8</v>
      </c>
      <c r="B81">
        <v>23671.8</v>
      </c>
      <c r="C81" s="4">
        <f t="shared" si="2"/>
        <v>15.151059347442818</v>
      </c>
      <c r="E81" s="1">
        <f t="shared" si="3"/>
        <v>43713474.5924934</v>
      </c>
    </row>
    <row r="82" spans="1:5" x14ac:dyDescent="0.25">
      <c r="A82">
        <v>28</v>
      </c>
      <c r="B82">
        <v>25113.9</v>
      </c>
      <c r="C82" s="4">
        <f t="shared" si="2"/>
        <v>16.074070807701325</v>
      </c>
      <c r="E82" s="1">
        <f t="shared" si="3"/>
        <v>46376525.214323379</v>
      </c>
    </row>
    <row r="83" spans="1:5" x14ac:dyDescent="0.25">
      <c r="A83">
        <v>28.2</v>
      </c>
      <c r="B83">
        <v>27373.4</v>
      </c>
      <c r="C83" s="4">
        <f t="shared" si="2"/>
        <v>17.520256505263276</v>
      </c>
      <c r="E83" s="1">
        <f t="shared" si="3"/>
        <v>50549025.651203483</v>
      </c>
    </row>
    <row r="84" spans="1:5" x14ac:dyDescent="0.25">
      <c r="A84">
        <v>28.4</v>
      </c>
      <c r="B84">
        <v>32374.5</v>
      </c>
      <c r="C84" s="4">
        <f t="shared" si="2"/>
        <v>20.721194452630876</v>
      </c>
      <c r="E84" s="1">
        <f t="shared" si="3"/>
        <v>59784295.37232814</v>
      </c>
    </row>
    <row r="85" spans="1:5" x14ac:dyDescent="0.25">
      <c r="A85">
        <v>28.6</v>
      </c>
      <c r="B85">
        <v>38972</v>
      </c>
      <c r="C85" s="4">
        <f t="shared" si="2"/>
        <v>24.943903078284773</v>
      </c>
      <c r="E85" s="1">
        <f t="shared" si="3"/>
        <v>71967553.452574477</v>
      </c>
    </row>
    <row r="86" spans="1:5" x14ac:dyDescent="0.25">
      <c r="A86">
        <v>28.8</v>
      </c>
      <c r="B86">
        <v>50573.599999999999</v>
      </c>
      <c r="C86" s="4">
        <f t="shared" si="2"/>
        <v>32.369469791643816</v>
      </c>
      <c r="E86" s="1">
        <f t="shared" si="3"/>
        <v>93391621.196990684</v>
      </c>
    </row>
    <row r="87" spans="1:5" x14ac:dyDescent="0.25">
      <c r="A87">
        <v>29</v>
      </c>
      <c r="B87">
        <v>66360.899999999994</v>
      </c>
      <c r="C87" s="4">
        <f t="shared" si="2"/>
        <v>42.474080308625368</v>
      </c>
      <c r="E87" s="1">
        <f t="shared" si="3"/>
        <v>122545202.14284486</v>
      </c>
    </row>
    <row r="88" spans="1:5" x14ac:dyDescent="0.25">
      <c r="A88">
        <v>29.2</v>
      </c>
      <c r="B88">
        <v>86641.2</v>
      </c>
      <c r="C88" s="4">
        <f t="shared" si="2"/>
        <v>55.454421004472103</v>
      </c>
      <c r="E88" s="1">
        <f t="shared" si="3"/>
        <v>159995771.12273416</v>
      </c>
    </row>
    <row r="89" spans="1:5" x14ac:dyDescent="0.25">
      <c r="A89">
        <v>29.4</v>
      </c>
      <c r="B89">
        <v>109440</v>
      </c>
      <c r="C89" s="4">
        <f t="shared" si="2"/>
        <v>70.046719513688942</v>
      </c>
      <c r="E89" s="1">
        <f t="shared" si="3"/>
        <v>202097122.28907296</v>
      </c>
    </row>
    <row r="90" spans="1:5" x14ac:dyDescent="0.25">
      <c r="A90">
        <v>29.6</v>
      </c>
      <c r="B90">
        <v>134175</v>
      </c>
      <c r="C90" s="4">
        <f t="shared" si="2"/>
        <v>85.87827659675817</v>
      </c>
      <c r="E90" s="1">
        <f t="shared" si="3"/>
        <v>247773952.69678694</v>
      </c>
    </row>
    <row r="91" spans="1:5" x14ac:dyDescent="0.25">
      <c r="A91">
        <v>29.8</v>
      </c>
      <c r="B91">
        <v>156703</v>
      </c>
      <c r="C91" s="4">
        <f t="shared" si="2"/>
        <v>100.29725043817251</v>
      </c>
      <c r="E91" s="1">
        <f t="shared" si="3"/>
        <v>289375231.67091197</v>
      </c>
    </row>
    <row r="92" spans="1:5" x14ac:dyDescent="0.25">
      <c r="A92">
        <v>30</v>
      </c>
      <c r="B92">
        <v>188997</v>
      </c>
      <c r="C92" s="4">
        <f t="shared" si="2"/>
        <v>120.96692112507922</v>
      </c>
      <c r="E92" s="1">
        <f t="shared" si="3"/>
        <v>349010871.90486038</v>
      </c>
    </row>
    <row r="93" spans="1:5" x14ac:dyDescent="0.25">
      <c r="A93">
        <v>30.2</v>
      </c>
      <c r="B93">
        <v>216568</v>
      </c>
      <c r="C93" s="4">
        <f t="shared" si="2"/>
        <v>138.61365087390891</v>
      </c>
      <c r="E93" s="1">
        <f t="shared" si="3"/>
        <v>399924795.13797468</v>
      </c>
    </row>
    <row r="94" spans="1:5" x14ac:dyDescent="0.25">
      <c r="A94">
        <v>30.4</v>
      </c>
      <c r="B94">
        <v>240618</v>
      </c>
      <c r="C94" s="4">
        <f t="shared" si="2"/>
        <v>154.00677591323836</v>
      </c>
      <c r="E94" s="1">
        <f t="shared" si="3"/>
        <v>444336671.88370025</v>
      </c>
    </row>
    <row r="95" spans="1:5" x14ac:dyDescent="0.25">
      <c r="A95">
        <v>30.6</v>
      </c>
      <c r="B95">
        <v>258954</v>
      </c>
      <c r="C95" s="4">
        <f t="shared" si="2"/>
        <v>165.74267365632136</v>
      </c>
      <c r="E95" s="1">
        <f t="shared" si="3"/>
        <v>478196803.77599227</v>
      </c>
    </row>
    <row r="96" spans="1:5" x14ac:dyDescent="0.25">
      <c r="A96">
        <v>30.8</v>
      </c>
      <c r="B96">
        <v>257139</v>
      </c>
      <c r="C96" s="4">
        <f t="shared" si="2"/>
        <v>164.58098875210584</v>
      </c>
      <c r="E96" s="1">
        <f t="shared" si="3"/>
        <v>474845138.23364335</v>
      </c>
    </row>
    <row r="97" spans="1:5" x14ac:dyDescent="0.25">
      <c r="A97">
        <v>31</v>
      </c>
      <c r="B97">
        <v>251469</v>
      </c>
      <c r="C97" s="4">
        <f t="shared" si="2"/>
        <v>160.95192351414335</v>
      </c>
      <c r="E97" s="1">
        <f t="shared" si="3"/>
        <v>464374645.87820619</v>
      </c>
    </row>
    <row r="98" spans="1:5" x14ac:dyDescent="0.25">
      <c r="A98">
        <v>31.2</v>
      </c>
      <c r="B98">
        <v>246390</v>
      </c>
      <c r="C98" s="4">
        <f t="shared" si="2"/>
        <v>157.70112592267745</v>
      </c>
      <c r="E98" s="1">
        <f t="shared" si="3"/>
        <v>454995522.30267441</v>
      </c>
    </row>
    <row r="99" spans="1:5" x14ac:dyDescent="0.25">
      <c r="A99">
        <v>31.4</v>
      </c>
      <c r="B99">
        <v>238551</v>
      </c>
      <c r="C99" s="4">
        <f t="shared" si="2"/>
        <v>152.68379922066899</v>
      </c>
      <c r="E99" s="1">
        <f t="shared" si="3"/>
        <v>440519651.12555414</v>
      </c>
    </row>
    <row r="100" spans="1:5" x14ac:dyDescent="0.25">
      <c r="A100">
        <v>31.6</v>
      </c>
      <c r="B100">
        <v>227483</v>
      </c>
      <c r="C100" s="4">
        <f t="shared" si="2"/>
        <v>145.59976146868149</v>
      </c>
      <c r="E100" s="1">
        <f t="shared" si="3"/>
        <v>420080954.58411163</v>
      </c>
    </row>
    <row r="101" spans="1:5" x14ac:dyDescent="0.25">
      <c r="A101">
        <v>31.8</v>
      </c>
      <c r="B101">
        <v>204854</v>
      </c>
      <c r="C101" s="4">
        <f t="shared" si="2"/>
        <v>131.11614290256978</v>
      </c>
      <c r="E101" s="1">
        <f t="shared" si="3"/>
        <v>378293164.19413149</v>
      </c>
    </row>
    <row r="102" spans="1:5" x14ac:dyDescent="0.25">
      <c r="A102">
        <v>32</v>
      </c>
      <c r="B102">
        <v>185317</v>
      </c>
      <c r="C102" s="4">
        <f t="shared" si="2"/>
        <v>118.61154897768911</v>
      </c>
      <c r="E102" s="1">
        <f t="shared" si="3"/>
        <v>342215208.43607581</v>
      </c>
    </row>
    <row r="103" spans="1:5" x14ac:dyDescent="0.25">
      <c r="A103">
        <v>32.200000000000003</v>
      </c>
      <c r="B103">
        <v>161158</v>
      </c>
      <c r="C103" s="4">
        <f t="shared" si="2"/>
        <v>103.14865883942876</v>
      </c>
      <c r="E103" s="1">
        <f t="shared" si="3"/>
        <v>297602047.09304106</v>
      </c>
    </row>
    <row r="104" spans="1:5" x14ac:dyDescent="0.25">
      <c r="A104">
        <v>32.4</v>
      </c>
      <c r="B104">
        <v>136481</v>
      </c>
      <c r="C104" s="4">
        <f t="shared" si="2"/>
        <v>87.354224469552094</v>
      </c>
      <c r="E104" s="1">
        <f t="shared" si="3"/>
        <v>252032322.25086772</v>
      </c>
    </row>
    <row r="105" spans="1:5" x14ac:dyDescent="0.25">
      <c r="A105">
        <v>32.6</v>
      </c>
      <c r="B105">
        <v>123158</v>
      </c>
      <c r="C105" s="4">
        <f t="shared" si="2"/>
        <v>78.826881230508988</v>
      </c>
      <c r="E105" s="1">
        <f t="shared" si="3"/>
        <v>227429435.18711299</v>
      </c>
    </row>
    <row r="106" spans="1:5" x14ac:dyDescent="0.25">
      <c r="A106">
        <v>32.799999999999997</v>
      </c>
      <c r="B106">
        <v>104037</v>
      </c>
      <c r="C106" s="4">
        <f t="shared" si="2"/>
        <v>66.588546765768072</v>
      </c>
      <c r="E106" s="1">
        <f t="shared" si="3"/>
        <v>192119684.86465901</v>
      </c>
    </row>
    <row r="107" spans="1:5" x14ac:dyDescent="0.25">
      <c r="A107">
        <v>33</v>
      </c>
      <c r="B107">
        <v>95096.3</v>
      </c>
      <c r="C107" s="4">
        <f t="shared" si="2"/>
        <v>60.866080527134677</v>
      </c>
      <c r="E107" s="1">
        <f t="shared" si="3"/>
        <v>175609361.93657136</v>
      </c>
    </row>
    <row r="108" spans="1:5" x14ac:dyDescent="0.25">
      <c r="A108">
        <v>33.200000000000003</v>
      </c>
      <c r="B108">
        <v>82499.3</v>
      </c>
      <c r="C108" s="4">
        <f t="shared" si="2"/>
        <v>52.803411249777767</v>
      </c>
      <c r="E108" s="1">
        <f t="shared" si="3"/>
        <v>152347141.08975616</v>
      </c>
    </row>
    <row r="109" spans="1:5" x14ac:dyDescent="0.25">
      <c r="A109">
        <v>33.4</v>
      </c>
      <c r="B109">
        <v>68562.2</v>
      </c>
      <c r="C109" s="4">
        <f t="shared" si="2"/>
        <v>43.883015283638926</v>
      </c>
      <c r="E109" s="1">
        <f t="shared" si="3"/>
        <v>126610227.68464799</v>
      </c>
    </row>
    <row r="110" spans="1:5" x14ac:dyDescent="0.25">
      <c r="A110">
        <v>33.6</v>
      </c>
      <c r="B110">
        <v>56372</v>
      </c>
      <c r="C110" s="4">
        <f t="shared" si="2"/>
        <v>36.080717036053301</v>
      </c>
      <c r="E110" s="1">
        <f t="shared" si="3"/>
        <v>104099223.1147626</v>
      </c>
    </row>
    <row r="111" spans="1:5" x14ac:dyDescent="0.25">
      <c r="A111">
        <v>33.799999999999997</v>
      </c>
      <c r="B111">
        <v>45113.7</v>
      </c>
      <c r="C111" s="4">
        <f t="shared" si="2"/>
        <v>28.874878381987472</v>
      </c>
      <c r="E111" s="1">
        <f t="shared" si="3"/>
        <v>83309109.519486025</v>
      </c>
    </row>
    <row r="112" spans="1:5" x14ac:dyDescent="0.25">
      <c r="A112">
        <v>34</v>
      </c>
      <c r="B112">
        <v>37980.300000000003</v>
      </c>
      <c r="C112" s="4">
        <f t="shared" si="2"/>
        <v>24.309168687369887</v>
      </c>
      <c r="E112" s="1">
        <f t="shared" si="3"/>
        <v>70136232.946597934</v>
      </c>
    </row>
    <row r="113" spans="1:5" x14ac:dyDescent="0.25">
      <c r="A113">
        <v>34.200000000000003</v>
      </c>
      <c r="B113">
        <v>31247.599999999999</v>
      </c>
      <c r="C113" s="4">
        <f t="shared" si="2"/>
        <v>19.999925737170564</v>
      </c>
      <c r="E113" s="1">
        <f t="shared" si="3"/>
        <v>57703308.099781029</v>
      </c>
    </row>
    <row r="114" spans="1:5" x14ac:dyDescent="0.25">
      <c r="A114">
        <v>34.4</v>
      </c>
      <c r="B114">
        <v>24282.5</v>
      </c>
      <c r="C114" s="4">
        <f t="shared" si="2"/>
        <v>15.541935915489326</v>
      </c>
      <c r="E114" s="1">
        <f t="shared" si="3"/>
        <v>44841222.331728928</v>
      </c>
    </row>
    <row r="115" spans="1:5" x14ac:dyDescent="0.25">
      <c r="A115">
        <v>34.6</v>
      </c>
      <c r="B115">
        <v>19024.5</v>
      </c>
      <c r="C115" s="4">
        <f t="shared" si="2"/>
        <v>12.176569950549849</v>
      </c>
      <c r="E115" s="1">
        <f t="shared" si="3"/>
        <v>35131548.82116656</v>
      </c>
    </row>
    <row r="116" spans="1:5" x14ac:dyDescent="0.25">
      <c r="A116">
        <v>34.799999999999997</v>
      </c>
      <c r="B116">
        <v>14020.8</v>
      </c>
      <c r="C116" s="4">
        <f t="shared" si="2"/>
        <v>8.9739678815563781</v>
      </c>
      <c r="E116" s="1">
        <f t="shared" si="3"/>
        <v>25891477.816069391</v>
      </c>
    </row>
    <row r="117" spans="1:5" x14ac:dyDescent="0.25">
      <c r="E117" s="1">
        <f>SUM(E77:E116)*0.2</f>
        <v>1607531256.5655808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FF77-3F12-4C54-AF73-B41983A5653C}">
  <dimension ref="A1:E121"/>
  <sheetViews>
    <sheetView workbookViewId="0">
      <selection activeCell="E2" sqref="E2:E116"/>
    </sheetView>
  </sheetViews>
  <sheetFormatPr defaultRowHeight="15" x14ac:dyDescent="0.25"/>
  <cols>
    <col min="3" max="3" width="12" bestFit="1" customWidth="1"/>
    <col min="4" max="4" width="10" bestFit="1" customWidth="1"/>
  </cols>
  <sheetData>
    <row r="1" spans="1:5" x14ac:dyDescent="0.25">
      <c r="A1" t="s">
        <v>11</v>
      </c>
      <c r="B1" t="s">
        <v>12</v>
      </c>
      <c r="E1" t="s">
        <v>18</v>
      </c>
    </row>
    <row r="2" spans="1:5" x14ac:dyDescent="0.25">
      <c r="A2">
        <v>12</v>
      </c>
      <c r="B2">
        <v>100473411302296</v>
      </c>
      <c r="C2">
        <f>B2*0.000001</f>
        <v>100473411.302296</v>
      </c>
      <c r="D2">
        <f>Spec2!E2</f>
        <v>100475177.03935775</v>
      </c>
      <c r="E2" s="5">
        <f>(C2-D2)/C2</f>
        <v>-1.757417249864511E-5</v>
      </c>
    </row>
    <row r="3" spans="1:5" x14ac:dyDescent="0.25">
      <c r="A3">
        <v>12.2</v>
      </c>
      <c r="B3">
        <v>98055456206779.797</v>
      </c>
      <c r="C3">
        <f t="shared" ref="C3:C66" si="0">B3*0.000001</f>
        <v>98055456.206779793</v>
      </c>
      <c r="D3">
        <f>Spec2!E3</f>
        <v>98057176.564894021</v>
      </c>
      <c r="E3" s="5">
        <f t="shared" ref="E3:E66" si="1">(C3-D3)/C3</f>
        <v>-1.7544746419819348E-5</v>
      </c>
    </row>
    <row r="4" spans="1:5" x14ac:dyDescent="0.25">
      <c r="A4">
        <v>12.4</v>
      </c>
      <c r="B4">
        <v>97843275788963.203</v>
      </c>
      <c r="C4">
        <f t="shared" si="0"/>
        <v>97843275.788963199</v>
      </c>
      <c r="D4">
        <f>Spec2!E4</f>
        <v>97844996.746262684</v>
      </c>
      <c r="E4" s="5">
        <f t="shared" si="1"/>
        <v>-1.7588917435652006E-5</v>
      </c>
    </row>
    <row r="5" spans="1:5" x14ac:dyDescent="0.25">
      <c r="A5">
        <v>12.6</v>
      </c>
      <c r="B5">
        <v>93503362120434.594</v>
      </c>
      <c r="C5">
        <f t="shared" si="0"/>
        <v>93503362.120434582</v>
      </c>
      <c r="D5">
        <f>Spec2!E5</f>
        <v>93505005.364649206</v>
      </c>
      <c r="E5" s="5">
        <f t="shared" si="1"/>
        <v>-1.7574172493472784E-5</v>
      </c>
    </row>
    <row r="6" spans="1:5" x14ac:dyDescent="0.25">
      <c r="A6">
        <v>12.8</v>
      </c>
      <c r="B6">
        <v>92568787267701.203</v>
      </c>
      <c r="C6">
        <f t="shared" si="0"/>
        <v>92568787.267701194</v>
      </c>
      <c r="D6">
        <f>Spec2!E6</f>
        <v>92570416.97292316</v>
      </c>
      <c r="E6" s="5">
        <f t="shared" si="1"/>
        <v>-1.7605342686978686E-5</v>
      </c>
    </row>
    <row r="7" spans="1:5" x14ac:dyDescent="0.25">
      <c r="A7">
        <v>13</v>
      </c>
      <c r="B7">
        <v>92042501927436.094</v>
      </c>
      <c r="C7">
        <f t="shared" si="0"/>
        <v>92042501.927436084</v>
      </c>
      <c r="D7">
        <f>Spec2!E7</f>
        <v>92044122.383628696</v>
      </c>
      <c r="E7" s="5">
        <f t="shared" si="1"/>
        <v>-1.7605520913481616E-5</v>
      </c>
    </row>
    <row r="8" spans="1:5" x14ac:dyDescent="0.25">
      <c r="A8">
        <v>13.2</v>
      </c>
      <c r="B8">
        <v>89631377865598.5</v>
      </c>
      <c r="C8">
        <f t="shared" si="0"/>
        <v>89631377.8655985</v>
      </c>
      <c r="D8">
        <f>Spec2!E8</f>
        <v>89632954.505587369</v>
      </c>
      <c r="E8" s="5">
        <f t="shared" si="1"/>
        <v>-1.7590268345908807E-5</v>
      </c>
    </row>
    <row r="9" spans="1:5" x14ac:dyDescent="0.25">
      <c r="A9">
        <v>13.4</v>
      </c>
      <c r="B9">
        <v>89705242474758.5</v>
      </c>
      <c r="C9">
        <f t="shared" si="0"/>
        <v>89705242.474758491</v>
      </c>
      <c r="D9">
        <f>Spec2!E9</f>
        <v>89706820.412856758</v>
      </c>
      <c r="E9" s="5">
        <f t="shared" si="1"/>
        <v>-1.7590255092512854E-5</v>
      </c>
    </row>
    <row r="10" spans="1:5" x14ac:dyDescent="0.25">
      <c r="A10">
        <v>13.6</v>
      </c>
      <c r="B10">
        <v>87693355182762.5</v>
      </c>
      <c r="C10">
        <f t="shared" si="0"/>
        <v>87693355.182762489</v>
      </c>
      <c r="D10">
        <f>Spec2!E10</f>
        <v>87694897.763606519</v>
      </c>
      <c r="E10" s="5">
        <f t="shared" si="1"/>
        <v>-1.7590624065128742E-5</v>
      </c>
    </row>
    <row r="11" spans="1:5" x14ac:dyDescent="0.25">
      <c r="A11">
        <v>13.8</v>
      </c>
      <c r="B11">
        <v>86250593261676.406</v>
      </c>
      <c r="C11">
        <f t="shared" si="0"/>
        <v>86250593.261676401</v>
      </c>
      <c r="D11">
        <f>Spec2!E11</f>
        <v>86252111.929867014</v>
      </c>
      <c r="E11" s="5">
        <f t="shared" si="1"/>
        <v>-1.7607626025317749E-5</v>
      </c>
    </row>
    <row r="12" spans="1:5" x14ac:dyDescent="0.25">
      <c r="A12">
        <v>14</v>
      </c>
      <c r="B12">
        <v>85580459480408.5</v>
      </c>
      <c r="C12">
        <f t="shared" si="0"/>
        <v>85580459.48040849</v>
      </c>
      <c r="D12">
        <f>Spec2!E12</f>
        <v>85581963.486165404</v>
      </c>
      <c r="E12" s="5">
        <f t="shared" si="1"/>
        <v>-1.7574172492716286E-5</v>
      </c>
    </row>
    <row r="13" spans="1:5" x14ac:dyDescent="0.25">
      <c r="A13">
        <v>14.2</v>
      </c>
      <c r="B13">
        <v>84985481496292.703</v>
      </c>
      <c r="C13">
        <f t="shared" si="0"/>
        <v>84985481.496292695</v>
      </c>
      <c r="D13">
        <f>Spec2!E13</f>
        <v>84986973.603110403</v>
      </c>
      <c r="E13" s="5">
        <f t="shared" si="1"/>
        <v>-1.7557196728626046E-5</v>
      </c>
    </row>
    <row r="14" spans="1:5" x14ac:dyDescent="0.25">
      <c r="A14">
        <v>14.4</v>
      </c>
      <c r="B14">
        <v>83406625475497.406</v>
      </c>
      <c r="C14">
        <f t="shared" si="0"/>
        <v>83406625.47549741</v>
      </c>
      <c r="D14">
        <f>Spec2!E14</f>
        <v>83408089.835227013</v>
      </c>
      <c r="E14" s="5">
        <f t="shared" si="1"/>
        <v>-1.7556875383156722E-5</v>
      </c>
    </row>
    <row r="15" spans="1:5" x14ac:dyDescent="0.25">
      <c r="A15">
        <v>14.6</v>
      </c>
      <c r="B15">
        <v>82567706734294.297</v>
      </c>
      <c r="C15">
        <f t="shared" si="0"/>
        <v>82567706.734294295</v>
      </c>
      <c r="D15">
        <f>Spec2!E15</f>
        <v>82569157.793414831</v>
      </c>
      <c r="E15" s="5">
        <f t="shared" si="1"/>
        <v>-1.7574172493435095E-5</v>
      </c>
    </row>
    <row r="16" spans="1:5" x14ac:dyDescent="0.25">
      <c r="A16">
        <v>14.8</v>
      </c>
      <c r="B16">
        <v>83281791400680.594</v>
      </c>
      <c r="C16">
        <f t="shared" si="0"/>
        <v>83281791.400680587</v>
      </c>
      <c r="D16">
        <f>Spec2!E16</f>
        <v>83283256.451941729</v>
      </c>
      <c r="E16" s="5">
        <f t="shared" si="1"/>
        <v>-1.7591495529837075E-5</v>
      </c>
    </row>
    <row r="17" spans="1:5" x14ac:dyDescent="0.25">
      <c r="A17">
        <v>15</v>
      </c>
      <c r="B17">
        <v>81997658055770.094</v>
      </c>
      <c r="C17">
        <f t="shared" si="0"/>
        <v>81997658.055770084</v>
      </c>
      <c r="D17">
        <f>Spec2!E17</f>
        <v>81999097.654063269</v>
      </c>
      <c r="E17" s="5">
        <f t="shared" si="1"/>
        <v>-1.7556578167221584E-5</v>
      </c>
    </row>
    <row r="18" spans="1:5" x14ac:dyDescent="0.25">
      <c r="A18">
        <v>15.2</v>
      </c>
      <c r="B18">
        <v>77546759926642.297</v>
      </c>
      <c r="C18">
        <f t="shared" si="0"/>
        <v>77546759.926642299</v>
      </c>
      <c r="D18">
        <f>Spec2!E18</f>
        <v>77548122.74677749</v>
      </c>
      <c r="E18" s="5">
        <f t="shared" si="1"/>
        <v>-1.7574172492574594E-5</v>
      </c>
    </row>
    <row r="19" spans="1:5" x14ac:dyDescent="0.25">
      <c r="A19">
        <v>15.4</v>
      </c>
      <c r="B19">
        <v>77591446572515.906</v>
      </c>
      <c r="C19">
        <f t="shared" si="0"/>
        <v>77591446.572515905</v>
      </c>
      <c r="D19">
        <f>Spec2!E19</f>
        <v>77592811.620675489</v>
      </c>
      <c r="E19" s="5">
        <f t="shared" si="1"/>
        <v>-1.7592765954023654E-5</v>
      </c>
    </row>
    <row r="20" spans="1:5" x14ac:dyDescent="0.25">
      <c r="A20">
        <v>15.6</v>
      </c>
      <c r="B20">
        <v>75683157280203.203</v>
      </c>
      <c r="C20">
        <f t="shared" si="0"/>
        <v>75683157.280203193</v>
      </c>
      <c r="D20">
        <f>Spec2!E20</f>
        <v>75684485.906370595</v>
      </c>
      <c r="E20" s="5">
        <f t="shared" si="1"/>
        <v>-1.7555110214055598E-5</v>
      </c>
    </row>
    <row r="21" spans="1:5" x14ac:dyDescent="0.25">
      <c r="A21">
        <v>15.8</v>
      </c>
      <c r="B21">
        <v>74535666248897.906</v>
      </c>
      <c r="C21">
        <f t="shared" si="0"/>
        <v>74535666.24889791</v>
      </c>
      <c r="D21">
        <f>Spec2!E21</f>
        <v>74536979.036940485</v>
      </c>
      <c r="E21" s="5">
        <f t="shared" si="1"/>
        <v>-1.7612883987530359E-5</v>
      </c>
    </row>
    <row r="22" spans="1:5" x14ac:dyDescent="0.25">
      <c r="A22">
        <v>16</v>
      </c>
      <c r="B22">
        <v>74620242669054.297</v>
      </c>
      <c r="C22">
        <f t="shared" si="0"/>
        <v>74620242.6690543</v>
      </c>
      <c r="D22">
        <f>Spec2!E22</f>
        <v>74621555.500763953</v>
      </c>
      <c r="E22" s="5">
        <f t="shared" si="1"/>
        <v>-1.7593506301978061E-5</v>
      </c>
    </row>
    <row r="23" spans="1:5" x14ac:dyDescent="0.25">
      <c r="A23">
        <v>16.2</v>
      </c>
      <c r="B23">
        <v>72535414075512.906</v>
      </c>
      <c r="C23">
        <f t="shared" si="0"/>
        <v>72535414.075512901</v>
      </c>
      <c r="D23">
        <f>Spec2!E23</f>
        <v>72536690.268085182</v>
      </c>
      <c r="E23" s="5">
        <f t="shared" si="1"/>
        <v>-1.759406199780132E-5</v>
      </c>
    </row>
    <row r="24" spans="1:5" x14ac:dyDescent="0.25">
      <c r="A24">
        <v>16.399999999999999</v>
      </c>
      <c r="B24">
        <v>73772278398565.5</v>
      </c>
      <c r="C24">
        <f t="shared" si="0"/>
        <v>73772278.398565501</v>
      </c>
      <c r="D24">
        <f>Spec2!E24</f>
        <v>73773574.885311276</v>
      </c>
      <c r="E24" s="5">
        <f t="shared" si="1"/>
        <v>-1.7574172492955783E-5</v>
      </c>
    </row>
    <row r="25" spans="1:5" x14ac:dyDescent="0.25">
      <c r="A25">
        <v>16.600000000000001</v>
      </c>
      <c r="B25">
        <v>70404420101246.406</v>
      </c>
      <c r="C25">
        <f t="shared" si="0"/>
        <v>70404420.101246402</v>
      </c>
      <c r="D25">
        <f>Spec2!E25</f>
        <v>70405658.843363047</v>
      </c>
      <c r="E25" s="5">
        <f t="shared" si="1"/>
        <v>-1.7594664012054672E-5</v>
      </c>
    </row>
    <row r="26" spans="1:5" x14ac:dyDescent="0.25">
      <c r="A26">
        <v>16.8</v>
      </c>
      <c r="B26">
        <v>70370625599887.594</v>
      </c>
      <c r="C26">
        <f t="shared" si="0"/>
        <v>70370625.599887595</v>
      </c>
      <c r="D26">
        <f>Spec2!E26</f>
        <v>70371865.190787315</v>
      </c>
      <c r="E26" s="5">
        <f t="shared" si="1"/>
        <v>-1.7615175212010167E-5</v>
      </c>
    </row>
    <row r="27" spans="1:5" x14ac:dyDescent="0.25">
      <c r="A27">
        <v>17</v>
      </c>
      <c r="B27">
        <v>68298723312949.102</v>
      </c>
      <c r="C27">
        <f t="shared" si="0"/>
        <v>68298723.312949091</v>
      </c>
      <c r="D27">
        <f>Spec2!E27</f>
        <v>68299926.4918807</v>
      </c>
      <c r="E27" s="5">
        <f t="shared" si="1"/>
        <v>-1.7616419066806764E-5</v>
      </c>
    </row>
    <row r="28" spans="1:5" x14ac:dyDescent="0.25">
      <c r="A28">
        <v>17.2</v>
      </c>
      <c r="B28">
        <v>66633263923250</v>
      </c>
      <c r="C28">
        <f t="shared" si="0"/>
        <v>66633263.923249997</v>
      </c>
      <c r="D28">
        <f>Spec2!E28</f>
        <v>66634434.947723947</v>
      </c>
      <c r="E28" s="5">
        <f t="shared" si="1"/>
        <v>-1.7574172492872099E-5</v>
      </c>
    </row>
    <row r="29" spans="1:5" x14ac:dyDescent="0.25">
      <c r="A29">
        <v>17.399999999999999</v>
      </c>
      <c r="B29">
        <v>66348697631124.703</v>
      </c>
      <c r="C29">
        <f t="shared" si="0"/>
        <v>66348697.631124698</v>
      </c>
      <c r="D29">
        <f>Spec2!E29</f>
        <v>66349866.539968595</v>
      </c>
      <c r="E29" s="5">
        <f t="shared" si="1"/>
        <v>-1.7617660717260842E-5</v>
      </c>
    </row>
    <row r="30" spans="1:5" x14ac:dyDescent="0.25">
      <c r="A30">
        <v>17.600000000000001</v>
      </c>
      <c r="B30">
        <v>66869818219421.203</v>
      </c>
      <c r="C30">
        <f t="shared" si="0"/>
        <v>66869818.2194212</v>
      </c>
      <c r="D30">
        <f>Spec2!E30</f>
        <v>66870990.515754186</v>
      </c>
      <c r="E30" s="5">
        <f t="shared" si="1"/>
        <v>-1.7531023176083484E-5</v>
      </c>
    </row>
    <row r="31" spans="1:5" x14ac:dyDescent="0.25">
      <c r="A31">
        <v>17.8</v>
      </c>
      <c r="B31">
        <v>63400028204129.5</v>
      </c>
      <c r="C31">
        <f t="shared" si="0"/>
        <v>63400028.204129495</v>
      </c>
      <c r="D31">
        <f>Spec2!E31</f>
        <v>63401139.521774217</v>
      </c>
      <c r="E31" s="5">
        <f t="shared" si="1"/>
        <v>-1.752866167732044E-5</v>
      </c>
    </row>
    <row r="32" spans="1:5" x14ac:dyDescent="0.25">
      <c r="A32">
        <v>18</v>
      </c>
      <c r="B32">
        <v>64859589995795.102</v>
      </c>
      <c r="C32">
        <f t="shared" si="0"/>
        <v>64859589.995795101</v>
      </c>
      <c r="D32">
        <f>Spec2!E32</f>
        <v>64860729.849417515</v>
      </c>
      <c r="E32" s="5">
        <f t="shared" si="1"/>
        <v>-1.7574172493043346E-5</v>
      </c>
    </row>
    <row r="33" spans="1:5" x14ac:dyDescent="0.25">
      <c r="A33">
        <v>18.2</v>
      </c>
      <c r="B33">
        <v>61278079759148.898</v>
      </c>
      <c r="C33">
        <f t="shared" si="0"/>
        <v>61278079.759148896</v>
      </c>
      <c r="D33">
        <f>Spec2!E33</f>
        <v>61279156.670692593</v>
      </c>
      <c r="E33" s="5">
        <f t="shared" si="1"/>
        <v>-1.7574172492510823E-5</v>
      </c>
    </row>
    <row r="34" spans="1:5" x14ac:dyDescent="0.25">
      <c r="A34">
        <v>18.399999999999999</v>
      </c>
      <c r="B34">
        <v>60222371275397.5</v>
      </c>
      <c r="C34">
        <f t="shared" si="0"/>
        <v>60222371.275397494</v>
      </c>
      <c r="D34">
        <f>Spec2!E34</f>
        <v>60223428.191044718</v>
      </c>
      <c r="E34" s="5">
        <f t="shared" si="1"/>
        <v>-1.755021638703508E-5</v>
      </c>
    </row>
    <row r="35" spans="1:5" x14ac:dyDescent="0.25">
      <c r="A35">
        <v>18.600000000000001</v>
      </c>
      <c r="B35">
        <v>61837048746299.102</v>
      </c>
      <c r="C35">
        <f t="shared" si="0"/>
        <v>61837048.746299095</v>
      </c>
      <c r="D35">
        <f>Spec2!E35</f>
        <v>61838136.923953757</v>
      </c>
      <c r="E35" s="5">
        <f t="shared" si="1"/>
        <v>-1.7597503062051693E-5</v>
      </c>
    </row>
    <row r="36" spans="1:5" x14ac:dyDescent="0.25">
      <c r="A36">
        <v>18.8</v>
      </c>
      <c r="B36">
        <v>59483353696749.297</v>
      </c>
      <c r="C36">
        <f t="shared" si="0"/>
        <v>59483353.696749292</v>
      </c>
      <c r="D36">
        <f>Spec2!E36</f>
        <v>59484399.788814388</v>
      </c>
      <c r="E36" s="5">
        <f t="shared" si="1"/>
        <v>-1.7586299360808726E-5</v>
      </c>
    </row>
    <row r="37" spans="1:5" x14ac:dyDescent="0.25">
      <c r="A37">
        <v>19</v>
      </c>
      <c r="B37">
        <v>59080607636638.398</v>
      </c>
      <c r="C37">
        <f t="shared" si="0"/>
        <v>59080607.636638395</v>
      </c>
      <c r="D37">
        <f>Spec2!E37</f>
        <v>59081645.929427996</v>
      </c>
      <c r="E37" s="5">
        <f t="shared" si="1"/>
        <v>-1.7574172493055065E-5</v>
      </c>
    </row>
    <row r="38" spans="1:5" x14ac:dyDescent="0.25">
      <c r="A38">
        <v>19.2</v>
      </c>
      <c r="B38">
        <v>58534377409231.898</v>
      </c>
      <c r="C38">
        <f t="shared" si="0"/>
        <v>58534377.409231894</v>
      </c>
      <c r="D38">
        <f>Spec2!E38</f>
        <v>58535407.545170799</v>
      </c>
      <c r="E38" s="5">
        <f t="shared" si="1"/>
        <v>-1.7598819437391148E-5</v>
      </c>
    </row>
    <row r="39" spans="1:5" x14ac:dyDescent="0.25">
      <c r="A39">
        <v>19.399999999999999</v>
      </c>
      <c r="B39">
        <v>58389050233377.703</v>
      </c>
      <c r="C39">
        <f t="shared" si="0"/>
        <v>58389050.233377703</v>
      </c>
      <c r="D39">
        <f>Spec2!E39</f>
        <v>58390076.372618258</v>
      </c>
      <c r="E39" s="5">
        <f t="shared" si="1"/>
        <v>-1.7574172493884473E-5</v>
      </c>
    </row>
    <row r="40" spans="1:5" x14ac:dyDescent="0.25">
      <c r="A40">
        <v>19.600000000000001</v>
      </c>
      <c r="B40">
        <v>57727222613969.898</v>
      </c>
      <c r="C40">
        <f t="shared" si="0"/>
        <v>57727222.613969892</v>
      </c>
      <c r="D40">
        <f>Spec2!E40</f>
        <v>57728237.843484446</v>
      </c>
      <c r="E40" s="5">
        <f t="shared" si="1"/>
        <v>-1.7586668275089665E-5</v>
      </c>
    </row>
    <row r="41" spans="1:5" x14ac:dyDescent="0.25">
      <c r="A41">
        <v>19.8</v>
      </c>
      <c r="B41">
        <v>55813389869299.898</v>
      </c>
      <c r="C41">
        <f t="shared" si="0"/>
        <v>55813389.869299896</v>
      </c>
      <c r="D41">
        <f>Spec2!E41</f>
        <v>55814372.186134353</v>
      </c>
      <c r="E41" s="5">
        <f t="shared" si="1"/>
        <v>-1.7600021012118119E-5</v>
      </c>
    </row>
    <row r="42" spans="1:5" x14ac:dyDescent="0.25">
      <c r="A42">
        <v>20</v>
      </c>
      <c r="B42">
        <v>55167446026197.703</v>
      </c>
      <c r="C42">
        <f t="shared" si="0"/>
        <v>55167446.026197702</v>
      </c>
      <c r="D42">
        <f>Spec2!E42</f>
        <v>55168414.827063471</v>
      </c>
      <c r="E42" s="5">
        <f t="shared" si="1"/>
        <v>-1.7561096906848397E-5</v>
      </c>
    </row>
    <row r="43" spans="1:5" x14ac:dyDescent="0.25">
      <c r="A43">
        <v>20.2</v>
      </c>
      <c r="B43">
        <v>54227147387588.5</v>
      </c>
      <c r="C43">
        <f t="shared" si="0"/>
        <v>54227147.387588501</v>
      </c>
      <c r="D43">
        <f>Spec2!E43</f>
        <v>54228101.827524036</v>
      </c>
      <c r="E43" s="5">
        <f t="shared" si="1"/>
        <v>-1.7600777129457571E-5</v>
      </c>
    </row>
    <row r="44" spans="1:5" x14ac:dyDescent="0.25">
      <c r="A44">
        <v>20.399999999999999</v>
      </c>
      <c r="B44">
        <v>51861820826098.203</v>
      </c>
      <c r="C44">
        <f t="shared" si="0"/>
        <v>51861820.826098204</v>
      </c>
      <c r="D44">
        <f>Spec2!E44</f>
        <v>51862730.811989725</v>
      </c>
      <c r="E44" s="5">
        <f t="shared" si="1"/>
        <v>-1.7546354467042715E-5</v>
      </c>
    </row>
    <row r="45" spans="1:5" x14ac:dyDescent="0.25">
      <c r="A45">
        <v>20.6</v>
      </c>
      <c r="B45">
        <v>51102306539742.203</v>
      </c>
      <c r="C45">
        <f t="shared" si="0"/>
        <v>51102306.539742202</v>
      </c>
      <c r="D45">
        <f>Spec2!E45</f>
        <v>51103204.620492138</v>
      </c>
      <c r="E45" s="5">
        <f t="shared" si="1"/>
        <v>-1.7574172493328955E-5</v>
      </c>
    </row>
    <row r="46" spans="1:5" x14ac:dyDescent="0.25">
      <c r="A46">
        <v>20.8</v>
      </c>
      <c r="B46">
        <v>51026963195730.898</v>
      </c>
      <c r="C46">
        <f t="shared" si="0"/>
        <v>51026963.195730895</v>
      </c>
      <c r="D46">
        <f>Spec2!E46</f>
        <v>51027861.395077355</v>
      </c>
      <c r="E46" s="5">
        <f t="shared" si="1"/>
        <v>-1.7602445652410464E-5</v>
      </c>
    </row>
    <row r="47" spans="1:5" x14ac:dyDescent="0.25">
      <c r="A47">
        <v>21</v>
      </c>
      <c r="B47">
        <v>48457398104576.797</v>
      </c>
      <c r="C47">
        <f t="shared" si="0"/>
        <v>48457398.104576796</v>
      </c>
      <c r="D47">
        <f>Spec2!E47</f>
        <v>48458251.145943172</v>
      </c>
      <c r="E47" s="5">
        <f t="shared" si="1"/>
        <v>-1.7603944903005701E-5</v>
      </c>
    </row>
    <row r="48" spans="1:5" x14ac:dyDescent="0.25">
      <c r="A48">
        <v>21.2</v>
      </c>
      <c r="B48">
        <v>47517103072637.898</v>
      </c>
      <c r="C48">
        <f t="shared" si="0"/>
        <v>47517103.072637893</v>
      </c>
      <c r="D48">
        <f>Spec2!E48</f>
        <v>47517938.146403737</v>
      </c>
      <c r="E48" s="5">
        <f t="shared" si="1"/>
        <v>-1.7574172494639579E-5</v>
      </c>
    </row>
    <row r="49" spans="1:5" x14ac:dyDescent="0.25">
      <c r="A49">
        <v>21.4</v>
      </c>
      <c r="B49">
        <v>44060423304138.102</v>
      </c>
      <c r="C49">
        <f t="shared" si="0"/>
        <v>44060423.304138102</v>
      </c>
      <c r="D49">
        <f>Spec2!E49</f>
        <v>44061198.350964084</v>
      </c>
      <c r="E49" s="5">
        <f t="shared" si="1"/>
        <v>-1.7590544254027601E-5</v>
      </c>
    </row>
    <row r="50" spans="1:5" x14ac:dyDescent="0.25">
      <c r="A50">
        <v>21.6</v>
      </c>
      <c r="B50">
        <v>47383039528346.602</v>
      </c>
      <c r="C50">
        <f t="shared" si="0"/>
        <v>47383039.528346598</v>
      </c>
      <c r="D50">
        <f>Spec2!E50</f>
        <v>47383871.524709783</v>
      </c>
      <c r="E50" s="5">
        <f t="shared" si="1"/>
        <v>-1.7558948760296597E-5</v>
      </c>
    </row>
    <row r="51" spans="1:5" x14ac:dyDescent="0.25">
      <c r="A51">
        <v>21.8</v>
      </c>
      <c r="B51">
        <v>43831075135364.297</v>
      </c>
      <c r="C51">
        <f t="shared" si="0"/>
        <v>43831075.135364294</v>
      </c>
      <c r="D51">
        <f>Spec2!E51</f>
        <v>43831844.708892599</v>
      </c>
      <c r="E51" s="5">
        <f t="shared" si="1"/>
        <v>-1.7557715066947557E-5</v>
      </c>
    </row>
    <row r="52" spans="1:5" x14ac:dyDescent="0.25">
      <c r="A52">
        <v>22</v>
      </c>
      <c r="B52">
        <v>43499975582136.398</v>
      </c>
      <c r="C52">
        <f t="shared" si="0"/>
        <v>43499975.5821364</v>
      </c>
      <c r="D52">
        <f>Spec2!E52</f>
        <v>43500740.779557526</v>
      </c>
      <c r="E52" s="5">
        <f t="shared" si="1"/>
        <v>-1.7590755187465021E-5</v>
      </c>
    </row>
    <row r="53" spans="1:5" x14ac:dyDescent="0.25">
      <c r="A53">
        <v>22.2</v>
      </c>
      <c r="B53">
        <v>41867567719700.102</v>
      </c>
      <c r="C53">
        <f t="shared" si="0"/>
        <v>41867567.719700098</v>
      </c>
      <c r="D53">
        <f>Spec2!E53</f>
        <v>41868304.228903823</v>
      </c>
      <c r="E53" s="5">
        <f t="shared" si="1"/>
        <v>-1.7591401742165469E-5</v>
      </c>
    </row>
    <row r="54" spans="1:5" x14ac:dyDescent="0.25">
      <c r="A54">
        <v>22.4</v>
      </c>
      <c r="B54">
        <v>42309092699620</v>
      </c>
      <c r="C54">
        <f t="shared" si="0"/>
        <v>42309092.699620001</v>
      </c>
      <c r="D54">
        <f>Spec2!E54</f>
        <v>42309837.689606659</v>
      </c>
      <c r="E54" s="5">
        <f t="shared" si="1"/>
        <v>-1.7608271393273992E-5</v>
      </c>
    </row>
    <row r="55" spans="1:5" x14ac:dyDescent="0.25">
      <c r="A55">
        <v>22.6</v>
      </c>
      <c r="B55">
        <v>40003041765646.602</v>
      </c>
      <c r="C55">
        <f t="shared" si="0"/>
        <v>40003041.765646599</v>
      </c>
      <c r="D55">
        <f>Spec2!E55</f>
        <v>40003744.064656056</v>
      </c>
      <c r="E55" s="5">
        <f t="shared" si="1"/>
        <v>-1.7556140194827477E-5</v>
      </c>
    </row>
    <row r="56" spans="1:5" x14ac:dyDescent="0.25">
      <c r="A56">
        <v>22.8</v>
      </c>
      <c r="B56">
        <v>41790565307318.898</v>
      </c>
      <c r="C56">
        <f t="shared" si="0"/>
        <v>41790565.307318896</v>
      </c>
      <c r="D56">
        <f>Spec2!E56</f>
        <v>41791299.020575486</v>
      </c>
      <c r="E56" s="5">
        <f t="shared" si="1"/>
        <v>-1.755691149891124E-5</v>
      </c>
    </row>
    <row r="57" spans="1:5" x14ac:dyDescent="0.25">
      <c r="A57">
        <v>23</v>
      </c>
      <c r="B57">
        <v>41864058429430.898</v>
      </c>
      <c r="C57">
        <f t="shared" si="0"/>
        <v>41864058.429430895</v>
      </c>
      <c r="D57">
        <f>Spec2!E57</f>
        <v>41864795.598308541</v>
      </c>
      <c r="E57" s="5">
        <f t="shared" si="1"/>
        <v>-1.7608633880753644E-5</v>
      </c>
    </row>
    <row r="58" spans="1:5" x14ac:dyDescent="0.25">
      <c r="A58">
        <v>23.2</v>
      </c>
      <c r="B58">
        <v>39332536497330.602</v>
      </c>
      <c r="C58">
        <f t="shared" si="0"/>
        <v>39332536.497330599</v>
      </c>
      <c r="D58">
        <f>Spec2!E58</f>
        <v>39333226.29141809</v>
      </c>
      <c r="E58" s="5">
        <f t="shared" si="1"/>
        <v>-1.7537493101639763E-5</v>
      </c>
    </row>
    <row r="59" spans="1:5" x14ac:dyDescent="0.25">
      <c r="A59">
        <v>23.4</v>
      </c>
      <c r="B59">
        <v>40043483360495.703</v>
      </c>
      <c r="C59">
        <f t="shared" si="0"/>
        <v>40043483.360495701</v>
      </c>
      <c r="D59">
        <f>Spec2!E59</f>
        <v>40044185.64888604</v>
      </c>
      <c r="E59" s="5">
        <f t="shared" si="1"/>
        <v>-1.7538144322160868E-5</v>
      </c>
    </row>
    <row r="60" spans="1:5" x14ac:dyDescent="0.25">
      <c r="A60">
        <v>23.6</v>
      </c>
      <c r="B60">
        <v>38625650745001.102</v>
      </c>
      <c r="C60">
        <f t="shared" si="0"/>
        <v>38625650.7450011</v>
      </c>
      <c r="D60">
        <f>Spec2!E60</f>
        <v>38626329.558849961</v>
      </c>
      <c r="E60" s="5">
        <f t="shared" si="1"/>
        <v>-1.7574172493350507E-5</v>
      </c>
    </row>
    <row r="61" spans="1:5" x14ac:dyDescent="0.25">
      <c r="A61">
        <v>23.8</v>
      </c>
      <c r="B61">
        <v>39876732562648.797</v>
      </c>
      <c r="C61">
        <f t="shared" si="0"/>
        <v>39876732.562648796</v>
      </c>
      <c r="D61">
        <f>Spec2!E61</f>
        <v>39877433.363225386</v>
      </c>
      <c r="E61" s="5">
        <f t="shared" si="1"/>
        <v>-1.7574172494925476E-5</v>
      </c>
    </row>
    <row r="62" spans="1:5" x14ac:dyDescent="0.25">
      <c r="A62">
        <v>24</v>
      </c>
      <c r="B62">
        <v>36167989815390.398</v>
      </c>
      <c r="C62">
        <f t="shared" si="0"/>
        <v>36167989.815390393</v>
      </c>
      <c r="D62">
        <f>Spec2!E62</f>
        <v>36168626.159228906</v>
      </c>
      <c r="E62" s="5">
        <f t="shared" si="1"/>
        <v>-1.759411683538235E-5</v>
      </c>
    </row>
    <row r="63" spans="1:5" x14ac:dyDescent="0.25">
      <c r="A63">
        <v>24.2</v>
      </c>
      <c r="B63">
        <v>35265734335834.898</v>
      </c>
      <c r="C63">
        <f t="shared" si="0"/>
        <v>35265734.335834898</v>
      </c>
      <c r="D63">
        <f>Spec2!E63</f>
        <v>35266354.101933219</v>
      </c>
      <c r="E63" s="5">
        <f t="shared" si="1"/>
        <v>-1.7574172493289483E-5</v>
      </c>
    </row>
    <row r="64" spans="1:5" x14ac:dyDescent="0.25">
      <c r="A64">
        <v>24.4</v>
      </c>
      <c r="B64">
        <v>35765799182516.297</v>
      </c>
      <c r="C64">
        <f t="shared" si="0"/>
        <v>35765799.182516292</v>
      </c>
      <c r="D64">
        <f>Spec2!E64</f>
        <v>35766426.294147044</v>
      </c>
      <c r="E64" s="5">
        <f t="shared" si="1"/>
        <v>-1.7533835258439832E-5</v>
      </c>
    </row>
    <row r="65" spans="1:5" x14ac:dyDescent="0.25">
      <c r="A65">
        <v>24.6</v>
      </c>
      <c r="B65">
        <v>34981171650380</v>
      </c>
      <c r="C65">
        <f t="shared" si="0"/>
        <v>34981171.65038</v>
      </c>
      <c r="D65">
        <f>Spec2!E65</f>
        <v>34981785.694177859</v>
      </c>
      <c r="E65" s="5">
        <f t="shared" si="1"/>
        <v>-1.7553551493218469E-5</v>
      </c>
    </row>
    <row r="66" spans="1:5" x14ac:dyDescent="0.25">
      <c r="A66">
        <v>24.8</v>
      </c>
      <c r="B66">
        <v>35587229325869.797</v>
      </c>
      <c r="C66">
        <f t="shared" si="0"/>
        <v>35587229.325869799</v>
      </c>
      <c r="D66">
        <f>Spec2!E66</f>
        <v>35587855.463323265</v>
      </c>
      <c r="E66" s="5">
        <f t="shared" si="1"/>
        <v>-1.7594442313369116E-5</v>
      </c>
    </row>
    <row r="67" spans="1:5" x14ac:dyDescent="0.25">
      <c r="A67">
        <v>25</v>
      </c>
      <c r="B67">
        <v>35798850709779.203</v>
      </c>
      <c r="C67">
        <f t="shared" ref="C67:C116" si="2">B67*0.000001</f>
        <v>35798850.709779203</v>
      </c>
      <c r="D67">
        <f>Spec2!E67</f>
        <v>35799481.287650101</v>
      </c>
      <c r="E67" s="5">
        <f t="shared" ref="E67:E116" si="3">(C67-D67)/C67</f>
        <v>-1.7614472487120746E-5</v>
      </c>
    </row>
    <row r="68" spans="1:5" x14ac:dyDescent="0.25">
      <c r="A68">
        <v>25.2</v>
      </c>
      <c r="B68">
        <v>34418137945723.699</v>
      </c>
      <c r="C68">
        <f t="shared" si="2"/>
        <v>34418137.945723698</v>
      </c>
      <c r="D68">
        <f>Spec2!E68</f>
        <v>34418742.816016868</v>
      </c>
      <c r="E68" s="5">
        <f t="shared" si="3"/>
        <v>-1.7574172493703025E-5</v>
      </c>
    </row>
    <row r="69" spans="1:5" x14ac:dyDescent="0.25">
      <c r="A69">
        <v>25.4</v>
      </c>
      <c r="B69">
        <v>37179195593456.898</v>
      </c>
      <c r="C69">
        <f t="shared" si="2"/>
        <v>37179195.593456894</v>
      </c>
      <c r="D69">
        <f>Spec2!E69</f>
        <v>37179850.429746963</v>
      </c>
      <c r="E69" s="5">
        <f t="shared" si="3"/>
        <v>-1.7612976279243869E-5</v>
      </c>
    </row>
    <row r="70" spans="1:5" x14ac:dyDescent="0.25">
      <c r="A70">
        <v>25.6</v>
      </c>
      <c r="B70">
        <v>38587979072995.398</v>
      </c>
      <c r="C70">
        <f t="shared" si="2"/>
        <v>38587979.072995394</v>
      </c>
      <c r="D70">
        <f>Spec2!E70</f>
        <v>38588657.946142562</v>
      </c>
      <c r="E70" s="5">
        <f t="shared" si="3"/>
        <v>-1.7592866055075525E-5</v>
      </c>
    </row>
    <row r="71" spans="1:5" x14ac:dyDescent="0.25">
      <c r="A71">
        <v>25.8</v>
      </c>
      <c r="B71">
        <v>41240641849454.5</v>
      </c>
      <c r="C71">
        <f t="shared" si="2"/>
        <v>41240641.8494545</v>
      </c>
      <c r="D71">
        <f>Spec2!E71</f>
        <v>41241367.340954818</v>
      </c>
      <c r="E71" s="5">
        <f t="shared" si="3"/>
        <v>-1.7591663654663672E-5</v>
      </c>
    </row>
    <row r="72" spans="1:5" x14ac:dyDescent="0.25">
      <c r="A72">
        <v>26</v>
      </c>
      <c r="B72">
        <v>40565336102877.203</v>
      </c>
      <c r="C72">
        <f t="shared" si="2"/>
        <v>40565336.1028772</v>
      </c>
      <c r="D72">
        <f>Spec2!E72</f>
        <v>40566048.283744343</v>
      </c>
      <c r="E72" s="5">
        <f t="shared" si="3"/>
        <v>-1.7556390148890252E-5</v>
      </c>
    </row>
    <row r="73" spans="1:5" x14ac:dyDescent="0.25">
      <c r="A73">
        <v>26.2</v>
      </c>
      <c r="B73">
        <v>38448007802639.398</v>
      </c>
      <c r="C73">
        <f t="shared" si="2"/>
        <v>38448007.802639395</v>
      </c>
      <c r="D73">
        <f>Spec2!E73</f>
        <v>38448682.051867053</v>
      </c>
      <c r="E73" s="5">
        <f t="shared" si="3"/>
        <v>-1.7536649262010084E-5</v>
      </c>
    </row>
    <row r="74" spans="1:5" x14ac:dyDescent="0.25">
      <c r="A74">
        <v>26.4</v>
      </c>
      <c r="B74">
        <v>40121776960869</v>
      </c>
      <c r="C74">
        <f t="shared" si="2"/>
        <v>40121776.960868999</v>
      </c>
      <c r="D74">
        <f>Spec2!E74</f>
        <v>40122483.510591611</v>
      </c>
      <c r="E74" s="5">
        <f t="shared" si="3"/>
        <v>-1.7610130361399649E-5</v>
      </c>
    </row>
    <row r="75" spans="1:5" x14ac:dyDescent="0.25">
      <c r="A75">
        <v>26.6</v>
      </c>
      <c r="B75">
        <v>43118833477536.703</v>
      </c>
      <c r="C75">
        <f t="shared" si="2"/>
        <v>43118833.477536701</v>
      </c>
      <c r="D75">
        <f>Spec2!E75</f>
        <v>43119592.698047444</v>
      </c>
      <c r="E75" s="5">
        <f t="shared" si="3"/>
        <v>-1.7607631039904731E-5</v>
      </c>
    </row>
    <row r="76" spans="1:5" x14ac:dyDescent="0.25">
      <c r="A76">
        <v>26.8</v>
      </c>
      <c r="B76">
        <v>42396622982808.703</v>
      </c>
      <c r="C76">
        <f t="shared" si="2"/>
        <v>42396622.982808702</v>
      </c>
      <c r="D76">
        <f>Spec2!E76</f>
        <v>42397368.7897209</v>
      </c>
      <c r="E76" s="5">
        <f t="shared" si="3"/>
        <v>-1.7591186743837548E-5</v>
      </c>
    </row>
    <row r="77" spans="1:5" x14ac:dyDescent="0.25">
      <c r="A77">
        <v>27</v>
      </c>
      <c r="B77">
        <v>40437364224839.297</v>
      </c>
      <c r="C77">
        <f t="shared" si="2"/>
        <v>40437364.224839292</v>
      </c>
      <c r="D77">
        <f>Spec2!E77</f>
        <v>40438075.599400111</v>
      </c>
      <c r="E77" s="5">
        <f t="shared" si="3"/>
        <v>-1.7592011112858416E-5</v>
      </c>
    </row>
    <row r="78" spans="1:5" x14ac:dyDescent="0.25">
      <c r="A78">
        <v>27.2</v>
      </c>
      <c r="B78">
        <v>37496261592278.5</v>
      </c>
      <c r="C78">
        <f t="shared" si="2"/>
        <v>37496261.592278495</v>
      </c>
      <c r="D78">
        <f>Spec2!E78</f>
        <v>37496919.836700857</v>
      </c>
      <c r="E78" s="5">
        <f t="shared" si="3"/>
        <v>-1.7554934663054653E-5</v>
      </c>
    </row>
    <row r="79" spans="1:5" x14ac:dyDescent="0.25">
      <c r="A79">
        <v>27.4</v>
      </c>
      <c r="B79">
        <v>39191082885452.797</v>
      </c>
      <c r="C79">
        <f t="shared" si="2"/>
        <v>39191082.885452792</v>
      </c>
      <c r="D79">
        <f>Spec2!E79</f>
        <v>39191773.078997195</v>
      </c>
      <c r="E79" s="5">
        <f t="shared" si="3"/>
        <v>-1.7610984274662879E-5</v>
      </c>
    </row>
    <row r="80" spans="1:5" x14ac:dyDescent="0.25">
      <c r="A80">
        <v>27.6</v>
      </c>
      <c r="B80">
        <v>41303242827051.703</v>
      </c>
      <c r="C80">
        <f t="shared" si="2"/>
        <v>41303242.827051699</v>
      </c>
      <c r="D80">
        <f>Spec2!E80</f>
        <v>41303968.697365642</v>
      </c>
      <c r="E80" s="5">
        <f t="shared" si="3"/>
        <v>-1.7574172492505144E-5</v>
      </c>
    </row>
    <row r="81" spans="1:5" x14ac:dyDescent="0.25">
      <c r="A81">
        <v>27.8</v>
      </c>
      <c r="B81">
        <v>43712707820519.5</v>
      </c>
      <c r="C81">
        <f t="shared" si="2"/>
        <v>43712707.820519499</v>
      </c>
      <c r="D81">
        <f>Spec2!E81</f>
        <v>43713474.5924934</v>
      </c>
      <c r="E81" s="5">
        <f t="shared" si="3"/>
        <v>-1.7541168509825441E-5</v>
      </c>
    </row>
    <row r="82" spans="1:5" x14ac:dyDescent="0.25">
      <c r="A82">
        <v>28</v>
      </c>
      <c r="B82">
        <v>46375710920926.898</v>
      </c>
      <c r="C82">
        <f t="shared" si="2"/>
        <v>46375710.920926899</v>
      </c>
      <c r="D82">
        <f>Spec2!E82</f>
        <v>46376525.214323379</v>
      </c>
      <c r="E82" s="5">
        <f t="shared" si="3"/>
        <v>-1.755861808498841E-5</v>
      </c>
    </row>
    <row r="83" spans="1:5" x14ac:dyDescent="0.25">
      <c r="A83">
        <v>28.2</v>
      </c>
      <c r="B83">
        <v>50548138030853.297</v>
      </c>
      <c r="C83">
        <f t="shared" si="2"/>
        <v>50548138.030853294</v>
      </c>
      <c r="D83">
        <f>Spec2!E83</f>
        <v>50549025.651203483</v>
      </c>
      <c r="E83" s="5">
        <f t="shared" si="3"/>
        <v>-1.7559902001686514E-5</v>
      </c>
    </row>
    <row r="84" spans="1:5" x14ac:dyDescent="0.25">
      <c r="A84">
        <v>28.4</v>
      </c>
      <c r="B84">
        <v>59783244731273</v>
      </c>
      <c r="C84">
        <f t="shared" si="2"/>
        <v>59783244.731272995</v>
      </c>
      <c r="D84">
        <f>Spec2!E84</f>
        <v>59784295.37232814</v>
      </c>
      <c r="E84" s="5">
        <f t="shared" si="3"/>
        <v>-1.7574172493765173E-5</v>
      </c>
    </row>
    <row r="85" spans="1:5" x14ac:dyDescent="0.25">
      <c r="A85">
        <v>28.6</v>
      </c>
      <c r="B85">
        <v>71966288704603.094</v>
      </c>
      <c r="C85">
        <f t="shared" si="2"/>
        <v>71966288.704603091</v>
      </c>
      <c r="D85">
        <f>Spec2!E85</f>
        <v>71967553.452574477</v>
      </c>
      <c r="E85" s="5">
        <f t="shared" si="3"/>
        <v>-1.7574172493138749E-5</v>
      </c>
    </row>
    <row r="86" spans="1:5" x14ac:dyDescent="0.25">
      <c r="A86">
        <v>28.8</v>
      </c>
      <c r="B86">
        <v>93389982830710.297</v>
      </c>
      <c r="C86">
        <f t="shared" si="2"/>
        <v>93389982.830710292</v>
      </c>
      <c r="D86">
        <f>Spec2!E86</f>
        <v>93391621.196990684</v>
      </c>
      <c r="E86" s="5">
        <f t="shared" si="3"/>
        <v>-1.7543276385024169E-5</v>
      </c>
    </row>
    <row r="87" spans="1:5" x14ac:dyDescent="0.25">
      <c r="A87">
        <v>29</v>
      </c>
      <c r="B87">
        <v>122543045664835</v>
      </c>
      <c r="C87">
        <f t="shared" si="2"/>
        <v>122543045.66483499</v>
      </c>
      <c r="D87">
        <f>Spec2!E87</f>
        <v>122545202.14284486</v>
      </c>
      <c r="E87" s="5">
        <f t="shared" si="3"/>
        <v>-1.7597718403073051E-5</v>
      </c>
    </row>
    <row r="88" spans="1:5" x14ac:dyDescent="0.25">
      <c r="A88">
        <v>29.2</v>
      </c>
      <c r="B88">
        <v>159992965149541</v>
      </c>
      <c r="C88">
        <f t="shared" si="2"/>
        <v>159992965.14954099</v>
      </c>
      <c r="D88">
        <f>Spec2!E88</f>
        <v>159995771.12273416</v>
      </c>
      <c r="E88" s="5">
        <f t="shared" si="3"/>
        <v>-1.7538103569403661E-5</v>
      </c>
    </row>
    <row r="89" spans="1:5" x14ac:dyDescent="0.25">
      <c r="A89">
        <v>29.4</v>
      </c>
      <c r="B89">
        <v>202093570661802</v>
      </c>
      <c r="C89">
        <f t="shared" si="2"/>
        <v>202093570.66180199</v>
      </c>
      <c r="D89">
        <f>Spec2!E89</f>
        <v>202097122.28907296</v>
      </c>
      <c r="E89" s="5">
        <f t="shared" si="3"/>
        <v>-1.7574172495127609E-5</v>
      </c>
    </row>
    <row r="90" spans="1:5" x14ac:dyDescent="0.25">
      <c r="A90">
        <v>29.6</v>
      </c>
      <c r="B90">
        <v>247769598351127</v>
      </c>
      <c r="C90">
        <f t="shared" si="2"/>
        <v>247769598.351127</v>
      </c>
      <c r="D90">
        <f>Spec2!E90</f>
        <v>247773952.69678694</v>
      </c>
      <c r="E90" s="5">
        <f t="shared" si="3"/>
        <v>-1.7574172492989508E-5</v>
      </c>
    </row>
    <row r="91" spans="1:5" x14ac:dyDescent="0.25">
      <c r="A91">
        <v>29.8</v>
      </c>
      <c r="B91">
        <v>289370146230047</v>
      </c>
      <c r="C91">
        <f t="shared" si="2"/>
        <v>289370146.23004699</v>
      </c>
      <c r="D91">
        <f>Spec2!E91</f>
        <v>289375231.67091197</v>
      </c>
      <c r="E91" s="5">
        <f t="shared" si="3"/>
        <v>-1.7574172495794834E-5</v>
      </c>
    </row>
    <row r="92" spans="1:5" x14ac:dyDescent="0.25">
      <c r="A92">
        <v>30</v>
      </c>
      <c r="B92">
        <v>349004738435386</v>
      </c>
      <c r="C92">
        <f t="shared" si="2"/>
        <v>349004738.435386</v>
      </c>
      <c r="D92">
        <f>Spec2!E92</f>
        <v>349010871.90486038</v>
      </c>
      <c r="E92" s="5">
        <f t="shared" si="3"/>
        <v>-1.7574172493680297E-5</v>
      </c>
    </row>
    <row r="93" spans="1:5" x14ac:dyDescent="0.25">
      <c r="A93">
        <v>30.2</v>
      </c>
      <c r="B93">
        <v>399917766914156</v>
      </c>
      <c r="C93">
        <f t="shared" si="2"/>
        <v>399917766.91415596</v>
      </c>
      <c r="D93">
        <f>Spec2!E93</f>
        <v>399924795.13797468</v>
      </c>
      <c r="E93" s="5">
        <f t="shared" si="3"/>
        <v>-1.757417249288658E-5</v>
      </c>
    </row>
    <row r="94" spans="1:5" x14ac:dyDescent="0.25">
      <c r="A94">
        <v>30.4</v>
      </c>
      <c r="B94">
        <v>444328863171615</v>
      </c>
      <c r="C94">
        <f t="shared" si="2"/>
        <v>444328863.171615</v>
      </c>
      <c r="D94">
        <f>Spec2!E94</f>
        <v>444336671.88370025</v>
      </c>
      <c r="E94" s="5">
        <f t="shared" si="3"/>
        <v>-1.7574172493563732E-5</v>
      </c>
    </row>
    <row r="95" spans="1:5" x14ac:dyDescent="0.25">
      <c r="A95">
        <v>30.6</v>
      </c>
      <c r="B95">
        <v>478188400010566</v>
      </c>
      <c r="C95">
        <f t="shared" si="2"/>
        <v>478188400.010566</v>
      </c>
      <c r="D95">
        <f>Spec2!E95</f>
        <v>478196803.77599227</v>
      </c>
      <c r="E95" s="5">
        <f t="shared" si="3"/>
        <v>-1.7574172493712573E-5</v>
      </c>
    </row>
    <row r="96" spans="1:5" x14ac:dyDescent="0.25">
      <c r="A96">
        <v>30.8</v>
      </c>
      <c r="B96">
        <v>474836793369930</v>
      </c>
      <c r="C96">
        <f t="shared" si="2"/>
        <v>474836793.36992997</v>
      </c>
      <c r="D96">
        <f>Spec2!E96</f>
        <v>474845138.23364335</v>
      </c>
      <c r="E96" s="5">
        <f t="shared" si="3"/>
        <v>-1.7574172494426862E-5</v>
      </c>
    </row>
    <row r="97" spans="1:5" x14ac:dyDescent="0.25">
      <c r="A97">
        <v>31</v>
      </c>
      <c r="B97">
        <v>464366485021498</v>
      </c>
      <c r="C97">
        <f t="shared" si="2"/>
        <v>464366485.02149796</v>
      </c>
      <c r="D97">
        <f>Spec2!E97</f>
        <v>464374645.87820619</v>
      </c>
      <c r="E97" s="5">
        <f t="shared" si="3"/>
        <v>-1.7574172494060978E-5</v>
      </c>
    </row>
    <row r="98" spans="1:5" x14ac:dyDescent="0.25">
      <c r="A98">
        <v>31.2</v>
      </c>
      <c r="B98">
        <v>454987526273405</v>
      </c>
      <c r="C98">
        <f t="shared" si="2"/>
        <v>454987526.27340496</v>
      </c>
      <c r="D98">
        <f>Spec2!E98</f>
        <v>454995522.30267441</v>
      </c>
      <c r="E98" s="5">
        <f t="shared" si="3"/>
        <v>-1.7574172494241077E-5</v>
      </c>
    </row>
    <row r="99" spans="1:5" x14ac:dyDescent="0.25">
      <c r="A99">
        <v>31.4</v>
      </c>
      <c r="B99">
        <v>440511909493271</v>
      </c>
      <c r="C99">
        <f t="shared" si="2"/>
        <v>440511909.49327099</v>
      </c>
      <c r="D99">
        <f>Spec2!E99</f>
        <v>440519651.12555414</v>
      </c>
      <c r="E99" s="5">
        <f t="shared" si="3"/>
        <v>-1.7574172494125057E-5</v>
      </c>
    </row>
    <row r="100" spans="1:5" x14ac:dyDescent="0.25">
      <c r="A100">
        <v>31.6</v>
      </c>
      <c r="B100">
        <v>420073572138695</v>
      </c>
      <c r="C100">
        <f t="shared" si="2"/>
        <v>420073572.138695</v>
      </c>
      <c r="D100">
        <f>Spec2!E100</f>
        <v>420080954.58411163</v>
      </c>
      <c r="E100" s="5">
        <f t="shared" si="3"/>
        <v>-1.75741724932695E-5</v>
      </c>
    </row>
    <row r="101" spans="1:5" x14ac:dyDescent="0.25">
      <c r="A101">
        <v>31.8</v>
      </c>
      <c r="B101">
        <v>378286516121645</v>
      </c>
      <c r="C101">
        <f t="shared" si="2"/>
        <v>378286516.12164497</v>
      </c>
      <c r="D101">
        <f>Spec2!E101</f>
        <v>378293164.19413149</v>
      </c>
      <c r="E101" s="5">
        <f t="shared" si="3"/>
        <v>-1.7574172494115554E-5</v>
      </c>
    </row>
    <row r="102" spans="1:5" x14ac:dyDescent="0.25">
      <c r="A102">
        <v>32</v>
      </c>
      <c r="B102">
        <v>342209194392665</v>
      </c>
      <c r="C102">
        <f t="shared" si="2"/>
        <v>342209194.39266497</v>
      </c>
      <c r="D102">
        <f>Spec2!E102</f>
        <v>342215208.43607581</v>
      </c>
      <c r="E102" s="5">
        <f t="shared" si="3"/>
        <v>-1.7574172492679694E-5</v>
      </c>
    </row>
    <row r="103" spans="1:5" x14ac:dyDescent="0.25">
      <c r="A103">
        <v>32.200000000000003</v>
      </c>
      <c r="B103">
        <v>297596817075244</v>
      </c>
      <c r="C103">
        <f t="shared" si="2"/>
        <v>297596817.07524401</v>
      </c>
      <c r="D103">
        <f>Spec2!E103</f>
        <v>297602047.09304106</v>
      </c>
      <c r="E103" s="5">
        <f t="shared" si="3"/>
        <v>-1.7574172494360075E-5</v>
      </c>
    </row>
    <row r="104" spans="1:5" x14ac:dyDescent="0.25">
      <c r="A104">
        <v>32.4</v>
      </c>
      <c r="B104">
        <v>252027893069202</v>
      </c>
      <c r="C104">
        <f t="shared" si="2"/>
        <v>252027893.06920198</v>
      </c>
      <c r="D104">
        <f>Spec2!E104</f>
        <v>252032322.25086772</v>
      </c>
      <c r="E104" s="5">
        <f t="shared" si="3"/>
        <v>-1.75741724926145E-5</v>
      </c>
    </row>
    <row r="105" spans="1:5" x14ac:dyDescent="0.25">
      <c r="A105">
        <v>32.6</v>
      </c>
      <c r="B105">
        <v>227425438373229</v>
      </c>
      <c r="C105">
        <f t="shared" si="2"/>
        <v>227425438.373229</v>
      </c>
      <c r="D105">
        <f>Spec2!E105</f>
        <v>227429435.18711299</v>
      </c>
      <c r="E105" s="5">
        <f t="shared" si="3"/>
        <v>-1.7574172496178103E-5</v>
      </c>
    </row>
    <row r="106" spans="1:5" x14ac:dyDescent="0.25">
      <c r="A106">
        <v>32.799999999999997</v>
      </c>
      <c r="B106">
        <v>192116308579513</v>
      </c>
      <c r="C106">
        <f t="shared" si="2"/>
        <v>192116308.57951298</v>
      </c>
      <c r="D106">
        <f>Spec2!E106</f>
        <v>192119684.86465901</v>
      </c>
      <c r="E106" s="5">
        <f t="shared" si="3"/>
        <v>-1.7574172494733464E-5</v>
      </c>
    </row>
    <row r="107" spans="1:5" x14ac:dyDescent="0.25">
      <c r="A107">
        <v>33</v>
      </c>
      <c r="B107">
        <v>175606270030917</v>
      </c>
      <c r="C107">
        <f t="shared" si="2"/>
        <v>175606270.03091699</v>
      </c>
      <c r="D107">
        <f>Spec2!E107</f>
        <v>175609361.93657136</v>
      </c>
      <c r="E107" s="5">
        <f t="shared" si="3"/>
        <v>-1.7607034497267259E-5</v>
      </c>
    </row>
    <row r="108" spans="1:5" x14ac:dyDescent="0.25">
      <c r="A108">
        <v>33.200000000000003</v>
      </c>
      <c r="B108">
        <v>152344457991199</v>
      </c>
      <c r="C108">
        <f t="shared" si="2"/>
        <v>152344457.99119899</v>
      </c>
      <c r="D108">
        <f>Spec2!E108</f>
        <v>152347141.08975616</v>
      </c>
      <c r="E108" s="5">
        <f t="shared" si="3"/>
        <v>-1.7612052269923792E-5</v>
      </c>
    </row>
    <row r="109" spans="1:5" x14ac:dyDescent="0.25">
      <c r="A109">
        <v>33.4</v>
      </c>
      <c r="B109">
        <v>126608008424443</v>
      </c>
      <c r="C109">
        <f t="shared" si="2"/>
        <v>126608008.42444299</v>
      </c>
      <c r="D109">
        <f>Spec2!E109</f>
        <v>126610227.68464799</v>
      </c>
      <c r="E109" s="5">
        <f t="shared" si="3"/>
        <v>-1.7528592642897839E-5</v>
      </c>
    </row>
    <row r="110" spans="1:5" x14ac:dyDescent="0.25">
      <c r="A110">
        <v>33.6</v>
      </c>
      <c r="B110">
        <v>104097393689209</v>
      </c>
      <c r="C110">
        <f t="shared" si="2"/>
        <v>104097393.689209</v>
      </c>
      <c r="D110">
        <f>Spec2!E110</f>
        <v>104099223.1147626</v>
      </c>
      <c r="E110" s="5">
        <f t="shared" si="3"/>
        <v>-1.7574172501060451E-5</v>
      </c>
    </row>
    <row r="111" spans="1:5" x14ac:dyDescent="0.25">
      <c r="A111">
        <v>33.799999999999997</v>
      </c>
      <c r="B111">
        <v>83307644013886.594</v>
      </c>
      <c r="C111">
        <f t="shared" si="2"/>
        <v>83307644.013886586</v>
      </c>
      <c r="D111">
        <f>Spec2!E111</f>
        <v>83309109.519486025</v>
      </c>
      <c r="E111" s="5">
        <f t="shared" si="3"/>
        <v>-1.7591490154191115E-5</v>
      </c>
    </row>
    <row r="112" spans="1:5" x14ac:dyDescent="0.25">
      <c r="A112">
        <v>34</v>
      </c>
      <c r="B112">
        <v>70135001824671.5</v>
      </c>
      <c r="C112">
        <f t="shared" si="2"/>
        <v>70135001.824671492</v>
      </c>
      <c r="D112">
        <f>Spec2!E112</f>
        <v>70136232.946597934</v>
      </c>
      <c r="E112" s="5">
        <f t="shared" si="3"/>
        <v>-1.7553602258675856E-5</v>
      </c>
    </row>
    <row r="113" spans="1:5" x14ac:dyDescent="0.25">
      <c r="A113">
        <v>34.200000000000003</v>
      </c>
      <c r="B113">
        <v>57702293308378.398</v>
      </c>
      <c r="C113">
        <f t="shared" si="2"/>
        <v>57702293.308378398</v>
      </c>
      <c r="D113">
        <f>Spec2!E113</f>
        <v>57703308.099781029</v>
      </c>
      <c r="E113" s="5">
        <f t="shared" si="3"/>
        <v>-1.7586673673560212E-5</v>
      </c>
    </row>
    <row r="114" spans="1:5" x14ac:dyDescent="0.25">
      <c r="A114">
        <v>34.4</v>
      </c>
      <c r="B114">
        <v>44840434298201.898</v>
      </c>
      <c r="C114">
        <f t="shared" si="2"/>
        <v>44840434.298201896</v>
      </c>
      <c r="D114">
        <f>Spec2!E114</f>
        <v>44841222.331728928</v>
      </c>
      <c r="E114" s="5">
        <f t="shared" si="3"/>
        <v>-1.7574172493310151E-5</v>
      </c>
    </row>
    <row r="115" spans="1:5" x14ac:dyDescent="0.25">
      <c r="A115">
        <v>34.6</v>
      </c>
      <c r="B115">
        <v>35130931424117.898</v>
      </c>
      <c r="C115">
        <f t="shared" si="2"/>
        <v>35130931.4241179</v>
      </c>
      <c r="D115">
        <f>Spec2!E115</f>
        <v>35131548.82116656</v>
      </c>
      <c r="E115" s="5">
        <f t="shared" si="3"/>
        <v>-1.7574172492214954E-5</v>
      </c>
    </row>
    <row r="116" spans="1:5" x14ac:dyDescent="0.25">
      <c r="A116">
        <v>34.799999999999997</v>
      </c>
      <c r="B116">
        <v>25891022442101.602</v>
      </c>
      <c r="C116">
        <f t="shared" si="2"/>
        <v>25891022.442101602</v>
      </c>
      <c r="D116">
        <f>Spec2!E116</f>
        <v>25891477.816069391</v>
      </c>
      <c r="E116" s="5">
        <f t="shared" si="3"/>
        <v>-1.7588102934422018E-5</v>
      </c>
    </row>
    <row r="119" spans="1:5" x14ac:dyDescent="0.25">
      <c r="A119" t="s">
        <v>13</v>
      </c>
      <c r="B119">
        <v>1.0001800000000001</v>
      </c>
    </row>
    <row r="120" spans="1:5" x14ac:dyDescent="0.25">
      <c r="A120" t="s">
        <v>14</v>
      </c>
      <c r="B120">
        <v>1.00553</v>
      </c>
    </row>
    <row r="121" spans="1:5" x14ac:dyDescent="0.25">
      <c r="A121" t="s">
        <v>15</v>
      </c>
      <c r="B121">
        <v>65.540000000000006</v>
      </c>
      <c r="C121" t="s">
        <v>16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Spec2</vt:lpstr>
      <vt:lpstr>CHECK-dtcalc_er_SA.C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Novák Jan</dc:creator>
  <cp:lastModifiedBy>Ansorge Martin</cp:lastModifiedBy>
  <dcterms:created xsi:type="dcterms:W3CDTF">2025-01-10T15:07:58Z</dcterms:created>
  <dcterms:modified xsi:type="dcterms:W3CDTF">2025-06-13T13:48:20Z</dcterms:modified>
</cp:coreProperties>
</file>